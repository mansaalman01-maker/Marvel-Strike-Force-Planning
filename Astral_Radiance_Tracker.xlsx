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<sst xmlns="http://schemas.openxmlformats.org/spreadsheetml/2006/main" count="74" uniqueCount="54">
  <si>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</si>
  <si>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</si>
  <si>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</si>
  <si>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</si>
  <si>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</si>
  <si>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</si>
  <si>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</si>
  <si>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</si>
  <si>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</si>
  <si>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</si>
  <si>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</si>
  <si>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</si>
  <si>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</si>
  <si>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</si>
  <si>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</si>
  <si>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</si>
  <si>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</si>
  <si>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</si>
  <si>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</si>
  <si>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</si>
  <si>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</si>
  <si>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</si>
  <si>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</si>
  <si>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</si>
  <si>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</si>
  <si>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Not claimed</t>
  </si>
  <si>
    <t xml:space="preserve">Emma Frost (X-Men) to 7 red stars + 250,000 gold + 30 training materials + 1,800 blue tokens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</si>
  <si>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</si>
  <si>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</si>
  <si>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</si>
  <si>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Premium, requires spending money. Skipping</t>
  </si>
  <si>
    <t xml:space="preserve">Skipped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</si>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</sst>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34750</v>
      </c>
      <c r="D6" s="3" t="s">
        <v>6</v>
      </c>
      <c r="E6" s="6" t="n">
        <f aca="false">B6+Scoring!F12</f>
        <v>76750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3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4</v>
      </c>
      <c r="D8" s="3" t="s">
        <v>10</v>
      </c>
      <c r="E8" s="3" t="n">
        <f aca="false">SUMPRODUCT((B13:B25&lt;&gt;"")*(B13:B25&lt;=B6)*(F13:F25&lt;&gt;"Claimed"))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5250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35250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5770.70484880841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5250</v>
      </c>
      <c r="F16" s="12" t="s">
        <v>25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26</v>
      </c>
      <c r="D17" s="10"/>
      <c r="E17" s="11" t="n">
        <f aca="false">IF(B17="","",MAX(0,B17-$B$6))</f>
        <v>15250</v>
      </c>
      <c r="F17" s="12" t="s">
        <v>25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27</v>
      </c>
      <c r="D18" s="10"/>
      <c r="E18" s="11" t="n">
        <f aca="false">IF(B18="","",MAX(0,B18-$B$6))</f>
        <v>25250</v>
      </c>
      <c r="F18" s="12" t="s">
        <v>25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28</v>
      </c>
      <c r="D19" s="10" t="s">
        <v>29</v>
      </c>
      <c r="E19" s="11" t="n">
        <f aca="false">IF(B19="","",MAX(0,B19-$B$6))</f>
        <v>35250</v>
      </c>
      <c r="F19" s="12" t="s">
        <v>25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31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31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31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31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31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30</v>
      </c>
      <c r="E25" s="11" t="str">
        <f aca="false">IF(B25="","",MAX(0,B25-$B$6))</f>
        <v/>
      </c>
      <c r="F25" s="12" t="s">
        <v>31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10" t="s">
        <v>44</v>
      </c>
      <c r="B5" s="10" t="s">
        <v>45</v>
      </c>
      <c r="C5" s="9" t="n">
        <v>2000</v>
      </c>
      <c r="D5" s="9" t="n">
        <v>14000</v>
      </c>
      <c r="E5" s="13" t="n">
        <v>2000</v>
      </c>
      <c r="F5" s="14" t="n">
        <f aca="false">MAX(0,D5-E5)</f>
        <v>12000</v>
      </c>
      <c r="G5" s="14" t="n">
        <f aca="false">ROUNDUP(D5/C5,0)</f>
        <v>7</v>
      </c>
      <c r="H5" s="14" t="n">
        <f aca="false">IFERROR(INT(E5/C5),0)</f>
        <v>1</v>
      </c>
      <c r="I5" s="14" t="n">
        <f aca="false">IFERROR(ROUNDUP(F5/C5,0),0)</f>
        <v>6</v>
      </c>
      <c r="J5" s="12" t="s">
        <v>46</v>
      </c>
    </row>
    <row r="6" customFormat="false" ht="15" hidden="false" customHeight="false" outlineLevel="0" collapsed="false">
      <c r="A6" s="10" t="s">
        <v>44</v>
      </c>
      <c r="B6" s="10" t="s">
        <v>47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46</v>
      </c>
    </row>
    <row r="7" customFormat="false" ht="15" hidden="false" customHeight="false" outlineLevel="0" collapsed="false">
      <c r="A7" s="10" t="s">
        <v>48</v>
      </c>
      <c r="B7" s="10" t="s">
        <v>49</v>
      </c>
      <c r="C7" s="9" t="n">
        <v>1500</v>
      </c>
      <c r="D7" s="9" t="n">
        <v>10500</v>
      </c>
      <c r="E7" s="13" t="n">
        <v>6000</v>
      </c>
      <c r="F7" s="14" t="n">
        <f aca="false">MAX(0,D7-E7)</f>
        <v>4500</v>
      </c>
      <c r="G7" s="14" t="n">
        <f aca="false">ROUNDUP(D7/C7,0)</f>
        <v>7</v>
      </c>
      <c r="H7" s="14" t="n">
        <f aca="false">IFERROR(INT(E7/C7),0)</f>
        <v>4</v>
      </c>
      <c r="I7" s="14" t="n">
        <f aca="false">IFERROR(ROUNDUP(F7/C7,0),0)</f>
        <v>3</v>
      </c>
      <c r="J7" s="12" t="s">
        <v>46</v>
      </c>
    </row>
    <row r="8" customFormat="false" ht="15" hidden="false" customHeight="false" outlineLevel="0" collapsed="false">
      <c r="A8" s="10" t="s">
        <v>48</v>
      </c>
      <c r="B8" s="10" t="s">
        <v>50</v>
      </c>
      <c r="C8" s="9" t="n">
        <v>900</v>
      </c>
      <c r="D8" s="9" t="n">
        <v>31500</v>
      </c>
      <c r="E8" s="13" t="n">
        <v>18000</v>
      </c>
      <c r="F8" s="14" t="n">
        <f aca="false">MAX(0,D8-E8)</f>
        <v>13500</v>
      </c>
      <c r="G8" s="14" t="n">
        <f aca="false">ROUNDUP(D8/C8,0)</f>
        <v>35</v>
      </c>
      <c r="H8" s="14" t="n">
        <f aca="false">IFERROR(INT(E8/C8),0)</f>
        <v>20</v>
      </c>
      <c r="I8" s="14" t="n">
        <f aca="false">IFERROR(ROUNDUP(F8/C8,0),0)</f>
        <v>15</v>
      </c>
      <c r="J8" s="12" t="s">
        <v>46</v>
      </c>
    </row>
    <row r="10" customFormat="false" ht="15" hidden="false" customHeight="false" outlineLevel="0" collapsed="false">
      <c r="B10" s="3" t="s">
        <v>51</v>
      </c>
      <c r="E10" s="6" t="n">
        <f aca="false">SUM(E5:E8)</f>
        <v>28000</v>
      </c>
      <c r="F10" s="6"/>
    </row>
    <row r="11" customFormat="false" ht="15" hidden="false" customHeight="false" outlineLevel="0" collapsed="false">
      <c r="B11" s="3" t="s">
        <v>52</v>
      </c>
      <c r="E11" s="6"/>
      <c r="F11" s="6" t="n">
        <f aca="false">SUM(F5:F8)</f>
        <v>42000</v>
      </c>
    </row>
    <row r="12" customFormat="false" ht="15" hidden="false" customHeight="false" outlineLevel="0" collapsed="false">
      <c r="B12" s="3" t="s">
        <v>53</v>
      </c>
      <c r="E12" s="6"/>
      <c r="F12" s="6" t="n">
        <f aca="false">SUMIF(J5:J8,"Yes",F5:F8)</f>
        <v>42000</v>
      </c>
    </row>
  </sheetData>
  <dataValidations count="1">
    <dataValidation allowBlank="true" errorStyle="stop" operator="between" showDropDown="false" showErrorMessage="false" showInputMessage="false" sqref="J5:J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2026-10-11T17:53:47Z</dcterms:created>
  <dc:creator>openpyxl</dc:creator>
  <dc:description/>
  <dc:language>en-US</dc:language>
  <cp:lastModifiedBy/>
  <dcterms:modified xsi:type="dcterms:W3CDTF">2026-10-11T17:53:47Z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