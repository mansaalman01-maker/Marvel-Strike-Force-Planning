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tral Radiance" sheetId="1" state="visible" r:id="rId3"/>
    <sheet name="Scor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<sst xmlns="http://schemas.openxmlformats.org/spreadsheetml/2006/main" count="77" uniqueCount="55">
  <si>
    <t xml:space="preserve">Astral Radiance Milestone Tracker</t>
  </si>
  <si>
    <t xml:space="preserve">Update Current points as you play and set each Status from its dropdown. Data from your screenshots, updated Oct 11, 2026.</t>
  </si>
  <si>
    <t xml:space="preserve">Scoring</t>
  </si>
  <si>
    <t xml:space="preserve">Earn 5-Diamond for Astral</t>
  </si>
  <si>
    <t xml:space="preserve">Ends (approx.)</t>
  </si>
  <si>
    <t xml:space="preserve">Current points</t>
  </si>
  <si>
    <t xml:space="preserve">Reachable with planned tasks</t>
  </si>
  <si>
    <t xml:space="preserve">Milestones reached</t>
  </si>
  <si>
    <t xml:space="preserve">Highest milestone that reaches</t>
  </si>
  <si>
    <t xml:space="preserve">Next milestone</t>
  </si>
  <si>
    <t xml:space="preserve">Ready to claim now</t>
  </si>
  <si>
    <t xml:space="preserve">Points to next</t>
  </si>
  <si>
    <t xml:space="preserve">Points to highest known</t>
  </si>
  <si>
    <t xml:space="preserve">Points per day for that</t>
  </si>
  <si>
    <t xml:space="preserve">Milestone</t>
  </si>
  <si>
    <t xml:space="preserve">Points needed</t>
  </si>
  <si>
    <t xml:space="preserve">Reward</t>
  </si>
  <si>
    <t xml:space="preserve">Notes</t>
  </si>
  <si>
    <t xml:space="preserve">Points to go</t>
  </si>
  <si>
    <t xml:space="preserve">Status</t>
  </si>
  <si>
    <t xml:space="preserve">100 shards each of Doctor Strange, Ancient One, Moondragon and Emma Frost (X-Men)</t>
  </si>
  <si>
    <t xml:space="preserve">Claimed</t>
  </si>
  <si>
    <t xml:space="preserve">Doctor Strange to 7 red stars + 150,000 gold + 15 training materials + 1,200 blue tokens</t>
  </si>
  <si>
    <t xml:space="preserve">Moondragon to 7 red stars + 150,000 gold + 20 training materials + 1,500 blue tokens</t>
  </si>
  <si>
    <t xml:space="preserve">Ancient One to 7 red stars + 200,000 gold + 25 training materials + 1,600 blue tokens</t>
  </si>
  <si>
    <t xml:space="preserve">Emma Frost (X-Men) to 7 red stars + 250,000 gold + 30 training materials + 1,800 blue tokens</t>
  </si>
  <si>
    <t xml:space="preserve">Shadow King to 7 red stars + 300,000 gold + 40 training materials + 2,400 blue tokens</t>
  </si>
  <si>
    <t xml:space="preserve">Not claimed</t>
  </si>
  <si>
    <t xml:space="preserve">1 Astral Diamond Orb fragment + 350,000 gold + 45 training materials + 2,700 blue tokens</t>
  </si>
  <si>
    <t xml:space="preserve">Fragments open orbs with up to 4 Astral diamonds</t>
  </si>
  <si>
    <t xml:space="preserve">Premium, requires spending money. Skipping</t>
  </si>
  <si>
    <t xml:space="preserve">Skipped</t>
  </si>
  <si>
    <t xml:space="preserve">How to earn points</t>
  </si>
  <si>
    <t xml:space="preserve">Update Earned from the event info screen. Set Plan to No for tasks you can't do, and the summary adjusts.</t>
  </si>
  <si>
    <t xml:space="preserve">Type</t>
  </si>
  <si>
    <t xml:space="preserve">Task</t>
  </si>
  <si>
    <t xml:space="preserve">Points each</t>
  </si>
  <si>
    <t xml:space="preserve">Limit</t>
  </si>
  <si>
    <t xml:space="preserve">Earned</t>
  </si>
  <si>
    <t xml:space="preserve">Points left</t>
  </si>
  <si>
    <t xml:space="preserve">Times to max</t>
  </si>
  <si>
    <t xml:space="preserve">Times done</t>
  </si>
  <si>
    <t xml:space="preserve">Times left</t>
  </si>
  <si>
    <t xml:space="preserve">Plan</t>
  </si>
  <si>
    <t xml:space="preserve">Daily</t>
  </si>
  <si>
    <t xml:space="preserve">Daily Login</t>
  </si>
  <si>
    <t xml:space="preserve">Yes</t>
  </si>
  <si>
    <t xml:space="preserve">Complete All Clear daily mission</t>
  </si>
  <si>
    <t xml:space="preserve">Web store free claim</t>
  </si>
  <si>
    <t xml:space="preserve">Battle</t>
  </si>
  <si>
    <t xml:space="preserve">Arena, Blitz, Crucible or Alliance War with Shadow King, 3 yellow stars</t>
  </si>
  <si>
    <t xml:space="preserve">Arena, Blitz, Crucible or Alliance War with Astral</t>
  </si>
  <si>
    <t xml:space="preserve">Earned so far from listed tasks</t>
  </si>
  <si>
    <t xml:space="preserve">Points left, all tasks</t>
  </si>
  <si>
    <t xml:space="preserve">Points left, tasks planned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</si>
</sst>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d&quot;, &quot;h:mm\ AM/PM"/>
    <numFmt numFmtId="166" formatCode="#,##0"/>
    <numFmt numFmtId="167" formatCode="#,##0;\-#,##0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4" min="4" style="0" width="4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3" t="s">
        <v>4</v>
      </c>
      <c r="B5" s="4" t="n">
        <v>46312.6875</v>
      </c>
    </row>
    <row r="6" customFormat="false" ht="15" hidden="false" customHeight="false" outlineLevel="0" collapsed="false">
      <c r="A6" s="3" t="s">
        <v>5</v>
      </c>
      <c r="B6" s="5" t="n">
        <v>52250</v>
      </c>
      <c r="D6" s="3" t="s">
        <v>6</v>
      </c>
      <c r="E6" s="6" t="n">
        <f aca="false">B6+Scoring!F13</f>
        <v>75250</v>
      </c>
    </row>
    <row r="7" customFormat="false" ht="15" hidden="false" customHeight="false" outlineLevel="0" collapsed="false">
      <c r="A7" s="3" t="s">
        <v>7</v>
      </c>
      <c r="B7" s="3" t="n">
        <f aca="false">SUMPRODUCT((B13:B25&lt;&gt;"")*(B13:B25&lt;=B6))</f>
        <v>5</v>
      </c>
      <c r="D7" s="3" t="s">
        <v>8</v>
      </c>
      <c r="E7" s="3" t="n">
        <f aca="false">IFERROR(INDEX(A13:A25,MATCH(E6,B13:B25,1)),0)</f>
        <v>7</v>
      </c>
    </row>
    <row r="8" customFormat="false" ht="15" hidden="false" customHeight="false" outlineLevel="0" collapsed="false">
      <c r="A8" s="3" t="s">
        <v>9</v>
      </c>
      <c r="B8" s="3" t="n">
        <f aca="false">IFERROR(INDEX(A13:A25,MATCH(TRUE(),INDEX(B13:B25&gt;B6,0),0)),"All done")</f>
        <v>6</v>
      </c>
      <c r="D8" s="3" t="s">
        <v>10</v>
      </c>
      <c r="E8" s="3" t="n">
        <f aca="false">SUMPRODUCT((B13:B25&lt;&gt;"")*(B13:B25&lt;=B6)*(F13:F25&lt;&gt;"Claimed"))</f>
        <v>0</v>
      </c>
    </row>
    <row r="9" customFormat="false" ht="15" hidden="false" customHeight="false" outlineLevel="0" collapsed="false">
      <c r="A9" s="3" t="s">
        <v>11</v>
      </c>
      <c r="B9" s="6" t="n">
        <f aca="false">IFERROR(INDEX(E13:E25,MATCH(TRUE(),INDEX(B13:B25&gt;B6,0),0)),0)</f>
        <v>7750</v>
      </c>
    </row>
    <row r="10" customFormat="false" ht="15" hidden="false" customHeight="false" outlineLevel="0" collapsed="false">
      <c r="A10" s="3" t="s">
        <v>12</v>
      </c>
      <c r="B10" s="6" t="n">
        <f aca="false">MAX(0,MAX(B13:B25)-B6)</f>
        <v>17750</v>
      </c>
    </row>
    <row r="11" customFormat="false" ht="15" hidden="false" customHeight="false" outlineLevel="0" collapsed="false">
      <c r="A11" s="3" t="s">
        <v>13</v>
      </c>
      <c r="B11" s="6" t="n">
        <f aca="true">IFERROR(B10/MAX(B5-NOW(),0.01),0)</f>
        <v>3573.14751200863</v>
      </c>
    </row>
    <row r="12" customFormat="false" ht="15" hidden="false" customHeight="false" outlineLevel="0" collapsed="false">
      <c r="A12" s="7" t="s">
        <v>14</v>
      </c>
      <c r="B12" s="7" t="s">
        <v>15</v>
      </c>
      <c r="C12" s="7" t="s">
        <v>16</v>
      </c>
      <c r="D12" s="7" t="s">
        <v>17</v>
      </c>
      <c r="E12" s="7" t="s">
        <v>18</v>
      </c>
      <c r="F12" s="7" t="s">
        <v>19</v>
      </c>
    </row>
    <row r="13" customFormat="false" ht="15" hidden="false" customHeight="false" outlineLevel="0" collapsed="false">
      <c r="A13" s="8" t="n">
        <v>1</v>
      </c>
      <c r="B13" s="9" t="n">
        <v>10000</v>
      </c>
      <c r="C13" s="10" t="s">
        <v>20</v>
      </c>
      <c r="D13" s="10"/>
      <c r="E13" s="11" t="n">
        <f aca="false">IF(B13="","",MAX(0,B13-$B$6))</f>
        <v>0</v>
      </c>
      <c r="F13" s="12" t="s">
        <v>21</v>
      </c>
    </row>
    <row r="14" customFormat="false" ht="15" hidden="false" customHeight="false" outlineLevel="0" collapsed="false">
      <c r="A14" s="8" t="n">
        <v>2</v>
      </c>
      <c r="B14" s="9" t="n">
        <v>20000</v>
      </c>
      <c r="C14" s="10" t="s">
        <v>22</v>
      </c>
      <c r="D14" s="10"/>
      <c r="E14" s="11" t="n">
        <f aca="false">IF(B14="","",MAX(0,B14-$B$6))</f>
        <v>0</v>
      </c>
      <c r="F14" s="12" t="s">
        <v>21</v>
      </c>
    </row>
    <row r="15" customFormat="false" ht="15" hidden="false" customHeight="false" outlineLevel="0" collapsed="false">
      <c r="A15" s="8" t="n">
        <v>3</v>
      </c>
      <c r="B15" s="9" t="n">
        <v>30000</v>
      </c>
      <c r="C15" s="10" t="s">
        <v>23</v>
      </c>
      <c r="D15" s="10"/>
      <c r="E15" s="11" t="n">
        <f aca="false">IF(B15="","",MAX(0,B15-$B$6))</f>
        <v>0</v>
      </c>
      <c r="F15" s="12" t="s">
        <v>21</v>
      </c>
    </row>
    <row r="16" customFormat="false" ht="15" hidden="false" customHeight="false" outlineLevel="0" collapsed="false">
      <c r="A16" s="8" t="n">
        <v>4</v>
      </c>
      <c r="B16" s="9" t="n">
        <v>40000</v>
      </c>
      <c r="C16" s="10" t="s">
        <v>24</v>
      </c>
      <c r="D16" s="10"/>
      <c r="E16" s="11" t="n">
        <f aca="false">IF(B16="","",MAX(0,B16-$B$6))</f>
        <v>0</v>
      </c>
      <c r="F16" s="12" t="s">
        <v>21</v>
      </c>
    </row>
    <row r="17" customFormat="false" ht="15" hidden="false" customHeight="false" outlineLevel="0" collapsed="false">
      <c r="A17" s="8" t="n">
        <v>5</v>
      </c>
      <c r="B17" s="9" t="n">
        <v>50000</v>
      </c>
      <c r="C17" s="10" t="s">
        <v>25</v>
      </c>
      <c r="D17" s="10"/>
      <c r="E17" s="11" t="n">
        <f aca="false">IF(B17="","",MAX(0,B17-$B$6))</f>
        <v>0</v>
      </c>
      <c r="F17" s="12" t="s">
        <v>21</v>
      </c>
    </row>
    <row r="18" customFormat="false" ht="15" hidden="false" customHeight="false" outlineLevel="0" collapsed="false">
      <c r="A18" s="8" t="n">
        <v>6</v>
      </c>
      <c r="B18" s="9" t="n">
        <v>60000</v>
      </c>
      <c r="C18" s="10" t="s">
        <v>26</v>
      </c>
      <c r="D18" s="10"/>
      <c r="E18" s="11" t="n">
        <f aca="false">IF(B18="","",MAX(0,B18-$B$6))</f>
        <v>7750</v>
      </c>
      <c r="F18" s="12" t="s">
        <v>27</v>
      </c>
    </row>
    <row r="19" customFormat="false" ht="15" hidden="false" customHeight="false" outlineLevel="0" collapsed="false">
      <c r="A19" s="8" t="n">
        <v>7</v>
      </c>
      <c r="B19" s="9" t="n">
        <v>70000</v>
      </c>
      <c r="C19" s="10" t="s">
        <v>28</v>
      </c>
      <c r="D19" s="10" t="s">
        <v>29</v>
      </c>
      <c r="E19" s="11" t="n">
        <f aca="false">IF(B19="","",MAX(0,B19-$B$6))</f>
        <v>17750</v>
      </c>
      <c r="F19" s="12" t="s">
        <v>27</v>
      </c>
    </row>
    <row r="20" customFormat="false" ht="15" hidden="false" customHeight="false" outlineLevel="0" collapsed="false">
      <c r="A20" s="8" t="n">
        <v>8</v>
      </c>
      <c r="B20" s="13"/>
      <c r="C20" s="12"/>
      <c r="D20" s="12" t="s">
        <v>30</v>
      </c>
      <c r="E20" s="11" t="str">
        <f aca="false">IF(B20="","",MAX(0,B20-$B$6))</f>
        <v/>
      </c>
      <c r="F20" s="12" t="s">
        <v>31</v>
      </c>
    </row>
    <row r="21" customFormat="false" ht="15" hidden="false" customHeight="false" outlineLevel="0" collapsed="false">
      <c r="A21" s="8" t="n">
        <v>9</v>
      </c>
      <c r="B21" s="13"/>
      <c r="C21" s="12"/>
      <c r="D21" s="12" t="s">
        <v>30</v>
      </c>
      <c r="E21" s="11" t="str">
        <f aca="false">IF(B21="","",MAX(0,B21-$B$6))</f>
        <v/>
      </c>
      <c r="F21" s="12" t="s">
        <v>31</v>
      </c>
    </row>
    <row r="22" customFormat="false" ht="15" hidden="false" customHeight="false" outlineLevel="0" collapsed="false">
      <c r="A22" s="8" t="n">
        <v>10</v>
      </c>
      <c r="B22" s="13"/>
      <c r="C22" s="12"/>
      <c r="D22" s="12" t="s">
        <v>30</v>
      </c>
      <c r="E22" s="11" t="str">
        <f aca="false">IF(B22="","",MAX(0,B22-$B$6))</f>
        <v/>
      </c>
      <c r="F22" s="12" t="s">
        <v>31</v>
      </c>
    </row>
    <row r="23" customFormat="false" ht="15" hidden="false" customHeight="false" outlineLevel="0" collapsed="false">
      <c r="A23" s="8" t="n">
        <v>11</v>
      </c>
      <c r="B23" s="13"/>
      <c r="C23" s="12"/>
      <c r="D23" s="12" t="s">
        <v>30</v>
      </c>
      <c r="E23" s="11" t="str">
        <f aca="false">IF(B23="","",MAX(0,B23-$B$6))</f>
        <v/>
      </c>
      <c r="F23" s="12" t="s">
        <v>31</v>
      </c>
    </row>
    <row r="24" customFormat="false" ht="15" hidden="false" customHeight="false" outlineLevel="0" collapsed="false">
      <c r="A24" s="8" t="n">
        <v>12</v>
      </c>
      <c r="B24" s="13"/>
      <c r="C24" s="12"/>
      <c r="D24" s="12" t="s">
        <v>30</v>
      </c>
      <c r="E24" s="11" t="str">
        <f aca="false">IF(B24="","",MAX(0,B24-$B$6))</f>
        <v/>
      </c>
      <c r="F24" s="12" t="s">
        <v>31</v>
      </c>
    </row>
    <row r="25" customFormat="false" ht="15" hidden="false" customHeight="false" outlineLevel="0" collapsed="false">
      <c r="A25" s="8" t="n">
        <v>13</v>
      </c>
      <c r="B25" s="13"/>
      <c r="C25" s="12"/>
      <c r="D25" s="12" t="s">
        <v>30</v>
      </c>
      <c r="E25" s="11" t="str">
        <f aca="false">IF(B25="","",MAX(0,B25-$B$6))</f>
        <v/>
      </c>
      <c r="F25" s="12" t="s">
        <v>31</v>
      </c>
    </row>
  </sheetData>
  <conditionalFormatting sqref="F13:F25">
    <cfRule type="cellIs" priority="2" operator="equal" aboveAverage="0" equalAverage="0" bottom="0" percent="0" rank="0" text="" dxfId="0">
      <formula>"Claimed"</formula>
    </cfRule>
    <cfRule type="expression" priority="3" aboveAverage="0" equalAverage="0" bottom="0" percent="0" rank="0" text="" dxfId="1">
      <formula>AND($B13&lt;&gt;"",$B13&lt;=$B$6,$F13&lt;&gt;"Claimed")</formula>
    </cfRule>
  </conditionalFormatting>
  <dataValidations count="1">
    <dataValidation allowBlank="false" errorStyle="stop" operator="between" showDropDown="false" showErrorMessage="false" showInputMessage="false" sqref="F13:F25" type="list">
      <formula1>"Claimed,Not claimed,Skipped"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4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8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  <c r="G4" s="7" t="s">
        <v>40</v>
      </c>
      <c r="H4" s="7" t="s">
        <v>41</v>
      </c>
      <c r="I4" s="7" t="s">
        <v>42</v>
      </c>
      <c r="J4" s="7" t="s">
        <v>43</v>
      </c>
    </row>
    <row r="5" customFormat="false" ht="15" hidden="false" customHeight="false" outlineLevel="0" collapsed="false">
      <c r="A5" s="10" t="s">
        <v>44</v>
      </c>
      <c r="B5" s="10" t="s">
        <v>45</v>
      </c>
      <c r="C5" s="9" t="n">
        <v>2000</v>
      </c>
      <c r="D5" s="9" t="n">
        <v>14000</v>
      </c>
      <c r="E5" s="13" t="n">
        <v>6000</v>
      </c>
      <c r="F5" s="14" t="n">
        <f aca="false">MAX(0,D5-E5)</f>
        <v>8000</v>
      </c>
      <c r="G5" s="14" t="n">
        <f aca="false">ROUNDUP(D5/C5,0)</f>
        <v>7</v>
      </c>
      <c r="H5" s="14" t="n">
        <f aca="false">IFERROR(INT(E5/C5),0)</f>
        <v>3</v>
      </c>
      <c r="I5" s="14" t="n">
        <f aca="false">IFERROR(ROUNDUP(F5/C5,0),0)</f>
        <v>4</v>
      </c>
      <c r="J5" s="12" t="s">
        <v>46</v>
      </c>
    </row>
    <row r="6" customFormat="false" ht="15" hidden="false" customHeight="false" outlineLevel="0" collapsed="false">
      <c r="A6" s="10" t="s">
        <v>44</v>
      </c>
      <c r="B6" s="10" t="s">
        <v>47</v>
      </c>
      <c r="C6" s="9" t="n">
        <v>2000</v>
      </c>
      <c r="D6" s="9" t="n">
        <v>14000</v>
      </c>
      <c r="E6" s="13" t="n">
        <v>2000</v>
      </c>
      <c r="F6" s="14" t="n">
        <f aca="false">MAX(0,D6-E6)</f>
        <v>12000</v>
      </c>
      <c r="G6" s="14" t="n">
        <f aca="false">ROUNDUP(D6/C6,0)</f>
        <v>7</v>
      </c>
      <c r="H6" s="14" t="n">
        <f aca="false">IFERROR(INT(E6/C6),0)</f>
        <v>1</v>
      </c>
      <c r="I6" s="14" t="n">
        <f aca="false">IFERROR(ROUNDUP(F6/C6,0),0)</f>
        <v>6</v>
      </c>
      <c r="J6" s="12" t="s">
        <v>46</v>
      </c>
    </row>
    <row r="7" customFormat="false" ht="15" hidden="false" customHeight="false" outlineLevel="0" collapsed="false">
      <c r="A7" s="10" t="s">
        <v>44</v>
      </c>
      <c r="B7" s="10" t="s">
        <v>48</v>
      </c>
      <c r="C7" s="9" t="n">
        <v>750</v>
      </c>
      <c r="D7" s="9" t="n">
        <v>4500</v>
      </c>
      <c r="E7" s="13" t="n">
        <v>1500</v>
      </c>
      <c r="F7" s="14" t="n">
        <f aca="false">MAX(0,D7-E7)</f>
        <v>3000</v>
      </c>
      <c r="G7" s="14" t="n">
        <f aca="false">ROUNDUP(D7/C7,0)</f>
        <v>6</v>
      </c>
      <c r="H7" s="14" t="n">
        <f aca="false">IFERROR(INT(E7/C7),0)</f>
        <v>2</v>
      </c>
      <c r="I7" s="14" t="n">
        <f aca="false">IFERROR(ROUNDUP(F7/C7,0),0)</f>
        <v>4</v>
      </c>
      <c r="J7" s="12" t="s">
        <v>46</v>
      </c>
    </row>
    <row r="8" customFormat="false" ht="15" hidden="false" customHeight="false" outlineLevel="0" collapsed="false">
      <c r="A8" s="10" t="s">
        <v>49</v>
      </c>
      <c r="B8" s="10" t="s">
        <v>50</v>
      </c>
      <c r="C8" s="9" t="n">
        <v>1500</v>
      </c>
      <c r="D8" s="9" t="n">
        <v>10500</v>
      </c>
      <c r="E8" s="13" t="n">
        <v>10500</v>
      </c>
      <c r="F8" s="14" t="n">
        <f aca="false">MAX(0,D8-E8)</f>
        <v>0</v>
      </c>
      <c r="G8" s="14" t="n">
        <f aca="false">ROUNDUP(D8/C8,0)</f>
        <v>7</v>
      </c>
      <c r="H8" s="14" t="n">
        <f aca="false">IFERROR(INT(E8/C8),0)</f>
        <v>7</v>
      </c>
      <c r="I8" s="14" t="n">
        <f aca="false">IFERROR(ROUNDUP(F8/C8,0),0)</f>
        <v>0</v>
      </c>
      <c r="J8" s="12" t="s">
        <v>46</v>
      </c>
    </row>
    <row r="9" customFormat="false" ht="15" hidden="false" customHeight="false" outlineLevel="0" collapsed="false">
      <c r="A9" s="10" t="s">
        <v>49</v>
      </c>
      <c r="B9" s="10" t="s">
        <v>51</v>
      </c>
      <c r="C9" s="9" t="n">
        <v>900</v>
      </c>
      <c r="D9" s="9" t="n">
        <v>31500</v>
      </c>
      <c r="E9" s="13" t="n">
        <v>31500</v>
      </c>
      <c r="F9" s="14" t="n">
        <f aca="false">MAX(0,D9-E9)</f>
        <v>0</v>
      </c>
      <c r="G9" s="14" t="n">
        <f aca="false">ROUNDUP(D9/C9,0)</f>
        <v>35</v>
      </c>
      <c r="H9" s="14" t="n">
        <f aca="false">IFERROR(INT(E9/C9),0)</f>
        <v>35</v>
      </c>
      <c r="I9" s="14" t="n">
        <f aca="false">IFERROR(ROUNDUP(F9/C9,0),0)</f>
        <v>0</v>
      </c>
      <c r="J9" s="12" t="s">
        <v>46</v>
      </c>
    </row>
    <row r="11" customFormat="false" ht="15" hidden="false" customHeight="false" outlineLevel="0" collapsed="false">
      <c r="B11" s="3" t="s">
        <v>52</v>
      </c>
      <c r="E11" s="6" t="n">
        <f aca="false">SUM(E5:E9)</f>
        <v>51500</v>
      </c>
      <c r="F11" s="6"/>
    </row>
    <row r="12" customFormat="false" ht="15" hidden="false" customHeight="false" outlineLevel="0" collapsed="false">
      <c r="B12" s="3" t="s">
        <v>53</v>
      </c>
      <c r="E12" s="6"/>
      <c r="F12" s="6" t="n">
        <f aca="false">SUM(F5:F9)</f>
        <v>23000</v>
      </c>
    </row>
    <row r="13" customFormat="false" ht="15" hidden="false" customHeight="false" outlineLevel="0" collapsed="false">
      <c r="B13" s="3" t="s">
        <v>54</v>
      </c>
      <c r="E13" s="6"/>
      <c r="F13" s="6" t="n">
        <f aca="false">SUMIF(J5:J9,"Yes",F5:F9)</f>
        <v>23000</v>
      </c>
    </row>
  </sheetData>
  <dataValidations count="1">
    <dataValidation allowBlank="true" errorStyle="stop" operator="between" showDropDown="false" showErrorMessage="false" showInputMessage="false" sqref="J5:J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2026-10-12T21:16:36Z</dcterms:created>
  <dc:creator>openpyxl</dc:creator>
  <dc:description/>
  <dc:language>en-US</dc:language>
  <cp:lastModifiedBy/>
  <dcterms:modified xsi:type="dcterms:W3CDTF">2026-10-12T21:16:36Z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