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<sst xmlns="http://schemas.openxmlformats.org/spreadsheetml/2006/main" count="221" uniqueCount="130">
  <si>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</si>
  <si>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</si>
  <si>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</si>
  <si>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</si>
  <si>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</si>
  <si>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</si>
  <si>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</si>
  <si>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</si>
  <si>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</si>
  <si>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</si>
  <si>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</si>
  <si>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</si>
  <si>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</si>
  <si>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</si>
  <si>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</si>
  <si>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</si>
  <si>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</si>
  <si>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</si>
  <si>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</si>
  <si>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</si>
  <si>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</si>
  <si>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</si>
  <si>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</si>
  <si>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</si>
  <si>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</si>
  <si>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</si>
  <si>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</si>
  <si>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</si>
  <si>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</si>
  <si>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</si>
  <si>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</si>
  <si>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</si>
  <si>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</si>
  <si>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</si>
  <si>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</si>
  <si>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</si>
  <si>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</si>
  <si>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</si>
  <si>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</si>
  <si>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</si>
  <si>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</si>
  <si>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</si>
  <si>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</si>
  <si>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</si>
  <si>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</si>
  <si>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</si>
  <si>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</si>
  <si>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</si>
  <si>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</si>
  <si>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</si>
  <si>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</si>
  <si>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</si>
  <si>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</si>
  <si>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</si>
  <si>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</si>
  <si>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Maestro to 6 red stars</t>
  </si>
  <si>
    <t xml:space="preserve">Not claimed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</si>
  <si>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</si>
  <si>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</si>
  <si>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</si>
  <si>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</si>
  <si>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</si>
  <si>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</si>
  <si>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</si>
  <si>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</si>
  <si>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</si>
  <si>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</si>
  <si>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</si>
  <si>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</si>
  <si>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</si>
  <si>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</si>
  <si>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</si>
  <si>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</si>
  <si>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</si>
  <si>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</si>
  <si>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</si>
  <si>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</si>
  <si>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</si>
  <si>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</si>
  <si>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</si>
  <si>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</si>
  <si>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</si>
  <si>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</si>
  <si>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</si>
  <si>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</si>
  <si>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</si>
  <si>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</si>
  <si>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</si>
  <si>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</si>
  <si>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</si>
  <si>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</si>
  <si>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</si>
  <si>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</si>
  <si>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</si>
  <si>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</si>
  <si>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</si>
  <si>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</si>
  <si>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</si>
  <si>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</si>
  <si>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</si>
  <si>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</si>
  <si>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</si>
  <si>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</si>
  <si>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</si>
  <si>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</si>
  <si>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</si>
  <si>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</si>
  <si>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</si>
  <si>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</si>
  <si>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</si>
  <si>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</si>
  <si>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</si>
  <si>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</si>
  <si>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done Oct 14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</si>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</sst>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518436290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4200000</v>
      </c>
      <c r="G6" s="7" t="n">
        <f aca="false">SUMPRODUCT((A13:A54&lt;=$B$9)*(H13:H54&lt;&gt;"Claimed")*G13:G54)</f>
        <v>5800000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24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6563710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527831290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81563710</v>
      </c>
      <c r="D10" s="3" t="s">
        <v>17</v>
      </c>
      <c r="G10" s="7" t="n">
        <f aca="false">Scoring!B37</f>
        <v>24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27453364.4869936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26</v>
      </c>
      <c r="I35" s="15" t="n">
        <f aca="false">IF(B35="","",MAX(0,B35-$B$6))</f>
        <v>0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55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56</v>
      </c>
      <c r="I36" s="15" t="n">
        <f aca="false">IF(B36="","",MAX(0,B36-$B$6))</f>
        <v>6563710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56</v>
      </c>
      <c r="I37" s="15" t="n">
        <f aca="false">IF(B37="","",MAX(0,B37-$B$6))</f>
        <v>31563710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56</v>
      </c>
      <c r="I38" s="15" t="n">
        <f aca="false">IF(B38="","",MAX(0,B38-$B$6))</f>
        <v>81563710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56</v>
      </c>
      <c r="I39" s="15" t="n">
        <f aca="false">IF(B39="","",MAX(0,B39-$B$6))</f>
        <v>131563710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56</v>
      </c>
      <c r="I40" s="15" t="n">
        <f aca="false">IF(B40="","",MAX(0,B40-$B$6))</f>
        <v>231563710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56</v>
      </c>
      <c r="I41" s="15" t="n">
        <f aca="false">IF(B41="","",MAX(0,B41-$B$6))</f>
        <v>381563710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56</v>
      </c>
      <c r="I42" s="15" t="n">
        <f aca="false">IF(B42="","",MAX(0,B42-$B$6))</f>
        <v>581563710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56</v>
      </c>
      <c r="I43" s="15" t="n">
        <f aca="false">IF(B43="","",MAX(0,B43-$B$6))</f>
        <v>781563710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56</v>
      </c>
      <c r="I44" s="15" t="n">
        <f aca="false">IF(B44="","",MAX(0,B44-$B$6))</f>
        <v>981563710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56</v>
      </c>
      <c r="I45" s="15" t="n">
        <f aca="false">IF(B45="","",MAX(0,B45-$B$6))</f>
        <v>1181563710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56</v>
      </c>
      <c r="I46" s="15" t="n">
        <f aca="false">IF(B46="","",MAX(0,B46-$B$6))</f>
        <v>1381563710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56</v>
      </c>
      <c r="I47" s="15" t="n">
        <f aca="false">IF(B47="","",MAX(0,B47-$B$6))</f>
        <v>1581563710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56</v>
      </c>
      <c r="I48" s="15" t="n">
        <f aca="false">IF(B48="","",MAX(0,B48-$B$6))</f>
        <v>1781563710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56</v>
      </c>
      <c r="I49" s="15" t="n">
        <f aca="false">IF(B49="","",MAX(0,B49-$B$6))</f>
        <v>1981563710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56</v>
      </c>
      <c r="I50" s="15" t="n">
        <f aca="false">IF(B50="","",MAX(0,B50-$B$6))</f>
        <v>2181563710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56</v>
      </c>
      <c r="I51" s="15" t="n">
        <f aca="false">IF(B51="","",MAX(0,B51-$B$6))</f>
        <v>2381563710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56</v>
      </c>
      <c r="I52" s="15" t="n">
        <f aca="false">IF(B52="","",MAX(0,B52-$B$6))</f>
        <v>2581563710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56</v>
      </c>
      <c r="I53" s="15" t="n">
        <f aca="false">IF(B53="","",MAX(0,B53-$B$6))</f>
        <v>2781563710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56</v>
      </c>
      <c r="I54" s="15" t="n">
        <f aca="false">IF(B54="","",MAX(0,B54-$B$6))</f>
        <v>2981563710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45000000</v>
      </c>
      <c r="F5" s="15" t="n">
        <f aca="false">IF(ISNUMBER(D5),MAX(0,D5-N(E5)),"")</f>
        <v>6000000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168895390</v>
      </c>
      <c r="F6" s="15" t="n">
        <f aca="false">IF(ISNUMBER(D6),MAX(0,D6-N(E6)),"")</f>
        <v>331104610</v>
      </c>
      <c r="G6" s="11" t="n">
        <v>8240000</v>
      </c>
      <c r="H6" s="15" t="n">
        <f aca="false">IF(ISNUMBER(D6),MIN(N(G6)*N(C6),N(F6)),N(G6)*N(C6))</f>
        <v>8240000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10750000</v>
      </c>
      <c r="F7" s="15" t="n">
        <f aca="false">IF(ISNUMBER(D7),MAX(0,D7-N(E7)),"")</f>
        <v>239250000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 t="n">
        <v>231</v>
      </c>
      <c r="H8" s="15" t="n">
        <f aca="false">IF(ISNUMBER(D8),MIN(N(G8)*N(C8),N(F8)),N(G8)*N(C8))</f>
        <v>1155000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25000000</v>
      </c>
      <c r="F22" s="15" t="n">
        <f aca="false">IF(ISNUMBER(D22),MAX(0,D22-N(E22)),"")</f>
        <v>0</v>
      </c>
      <c r="G22" s="11"/>
      <c r="H22" s="15" t="n">
        <f aca="false">IF(ISNUMBER(D22),MIN(N(G22)*N(C22),N(F22)),N(G22)*N(C22))</f>
        <v>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421146890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97289400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518436290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9395000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527831290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24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72168710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2026-10-15T21:41:39Z</dcterms:created>
  <dc:creator>openpyxl</dc:creator>
  <dc:description/>
  <dc:language>en-US</dc:language>
  <cp:lastModifiedBy/>
  <dcterms:modified xsi:type="dcterms:W3CDTF">2026-10-15T21:41:39Z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