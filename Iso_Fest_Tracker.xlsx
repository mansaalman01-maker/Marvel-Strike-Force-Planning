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<sst xmlns="http://schemas.openxmlformats.org/spreadsheetml/2006/main" count="221" uniqueCount="130">
  <si>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</si>
  <si>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</si>
  <si>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</si>
  <si>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</si>
  <si>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</si>
  <si>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</si>
  <si>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</si>
  <si>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</si>
  <si>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</si>
  <si>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</si>
  <si>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</si>
  <si>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</si>
  <si>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</si>
  <si>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</si>
  <si>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</si>
  <si>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</si>
  <si>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</si>
  <si>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</si>
  <si>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</si>
  <si>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</si>
  <si>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</si>
  <si>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</si>
  <si>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</si>
  <si>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</si>
  <si>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</si>
  <si>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</si>
  <si>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</si>
  <si>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</si>
  <si>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</si>
  <si>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</si>
  <si>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</si>
  <si>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</si>
  <si>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</si>
  <si>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</si>
  <si>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</si>
  <si>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</si>
  <si>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</si>
  <si>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</si>
  <si>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</si>
  <si>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</si>
  <si>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</si>
  <si>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</si>
  <si>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</si>
  <si>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</si>
  <si>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</si>
  <si>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</si>
  <si>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</si>
  <si>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</si>
  <si>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</si>
  <si>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</si>
  <si>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</si>
  <si>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</si>
  <si>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</si>
  <si>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</si>
  <si>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</si>
  <si>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</si>
  <si>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</si>
  <si>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</si>
  <si>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</si>
  <si>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</si>
  <si>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</si>
  <si>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</si>
  <si>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</si>
  <si>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</si>
  <si>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</si>
  <si>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</si>
  <si>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</si>
  <si>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</si>
  <si>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</si>
  <si>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</si>
  <si>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</si>
  <si>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</si>
  <si>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</si>
  <si>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</si>
  <si>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</si>
  <si>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</si>
  <si>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</si>
  <si>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</si>
  <si>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</si>
  <si>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</si>
  <si>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</si>
  <si>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</si>
  <si>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</si>
  <si>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</si>
  <si>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</si>
  <si>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</si>
  <si>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</si>
  <si>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</si>
  <si>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</si>
  <si>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</si>
  <si>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</si>
  <si>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</si>
  <si>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</si>
  <si>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</si>
  <si>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</si>
  <si>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</si>
  <si>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</si>
  <si>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</si>
  <si>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</si>
  <si>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</si>
  <si>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</si>
  <si>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</si>
  <si>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</si>
  <si>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</si>
  <si>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</si>
  <si>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</si>
  <si>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</si>
  <si>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</si>
  <si>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</si>
  <si>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</si>
  <si>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</si>
  <si>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</si>
  <si>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</si>
  <si>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planned after milestone 24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</si>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</sst>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482927315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23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17072685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500787315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117072685</v>
      </c>
      <c r="D10" s="3" t="s">
        <v>17</v>
      </c>
      <c r="G10" s="7" t="n">
        <f aca="false">Scoring!B37</f>
        <v>23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27343380.829674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17072685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42072685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67072685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117072685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167072685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267072685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417072685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617072685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817072685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1017072685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1217072685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1417072685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1617072685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1817072685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2017072685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2217072685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2417072685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2617072685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2817072685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3017072685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153625315</v>
      </c>
      <c r="F6" s="15" t="n">
        <f aca="false">IF(ISNUMBER(D6),MAX(0,D6-N(E6)),"")</f>
        <v>346374685</v>
      </c>
      <c r="G6" s="11" t="n">
        <v>12860000</v>
      </c>
      <c r="H6" s="15" t="n">
        <f aca="false">IF(ISNUMBER(D6),MIN(N(G6)*N(C6),N(F6)),N(G6)*N(C6))</f>
        <v>12860000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10300000</v>
      </c>
      <c r="F7" s="15" t="n">
        <f aca="false">IF(ISNUMBER(D7),MAX(0,D7-N(E7)),"")</f>
        <v>239700000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58180000</v>
      </c>
      <c r="F8" s="15" t="n">
        <f aca="false">IF(ISNUMBER(D8),MAX(0,D8-N(E8)),"")</f>
        <v>441820000</v>
      </c>
      <c r="G8" s="11"/>
      <c r="H8" s="15" t="n">
        <f aca="false">IF(ISNUMBER(D8),MIN(N(G8)*N(C8),N(F8)),N(G8)*N(C8))</f>
        <v>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20000000</v>
      </c>
      <c r="F22" s="15" t="n">
        <f aca="false">IF(ISNUMBER(D22),MAX(0,D22-N(E22)),"")</f>
        <v>5000000</v>
      </c>
      <c r="G22" s="11" t="n">
        <v>1</v>
      </c>
      <c r="H22" s="15" t="n">
        <f aca="false">IF(ISNUMBER(D22),MIN(N(G22)*N(C22),N(F22)),N(G22)*N(C22))</f>
        <v>5000000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393931815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88995500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482927315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17860000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500787315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23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99212685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2026-10-14T14:14:20Z</dcterms:created>
  <dc:creator>openpyxl</dc:creator>
  <dc:description/>
  <dc:language>en-US</dc:language>
  <cp:lastModifiedBy/>
  <dcterms:modified xsi:type="dcterms:W3CDTF">2026-10-14T14:14:20Z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