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<sst xmlns="http://schemas.openxmlformats.org/spreadsheetml/2006/main" count="221" uniqueCount="130">
  <si>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</si>
  <si>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</si>
  <si>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</si>
  <si>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</si>
  <si>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</si>
  <si>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</si>
  <si>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</si>
  <si>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</si>
  <si>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</si>
  <si>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</si>
  <si>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</si>
  <si>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</si>
  <si>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</si>
  <si>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</si>
  <si>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</si>
  <si>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</si>
  <si>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</si>
  <si>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</si>
  <si>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</si>
  <si>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</si>
  <si>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</si>
  <si>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</si>
  <si>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</si>
  <si>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</si>
  <si>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</si>
  <si>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</si>
  <si>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</si>
  <si>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</si>
  <si>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</si>
  <si>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</si>
  <si>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</si>
  <si>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</si>
  <si>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</si>
  <si>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</si>
  <si>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</si>
  <si>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</si>
  <si>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</si>
  <si>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</si>
  <si>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</si>
  <si>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</si>
  <si>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</si>
  <si>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</si>
  <si>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</si>
  <si>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</si>
  <si>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</si>
  <si>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</si>
  <si>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</si>
  <si>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</si>
  <si>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</si>
  <si>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</si>
  <si>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</si>
  <si>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</si>
  <si>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</si>
  <si>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</si>
  <si>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</si>
  <si>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Maestro to 6 red stars</t>
  </si>
  <si>
    <t xml:space="preserve">Knull to 7 red stars</t>
  </si>
  <si>
    <t xml:space="preserve">Not claimed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</si>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</sst>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533979590</v>
      </c>
      <c r="D6" s="4" t="s">
        <v>10</v>
      </c>
      <c r="E6" s="7" t="n">
        <f aca="false">SUMPRODUCT((A13:A54&lt;=$B$9)*(H13:H54&lt;&gt;"Claimed")*E13:E54)</f>
        <v>1300000</v>
      </c>
      <c r="F6" s="7" t="n">
        <f aca="false">SUMPRODUCT((A13:A54&lt;=$B$9)*(H13:H54&lt;&gt;"Claimed")*F13:F54)</f>
        <v>2800000</v>
      </c>
      <c r="G6" s="7" t="n">
        <f aca="false">SUMPRODUCT((A13:A54&lt;=$B$9)*(H13:H54&lt;&gt;"Claimed")*G13:G54)</f>
        <v>3900000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25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16020410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543374590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66020410</v>
      </c>
      <c r="D10" s="3" t="s">
        <v>17</v>
      </c>
      <c r="G10" s="7" t="n">
        <f aca="false">Scoring!B37</f>
        <v>24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28695179.3210574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26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55</v>
      </c>
      <c r="D36" s="12"/>
      <c r="E36" s="13" t="n">
        <v>1300000</v>
      </c>
      <c r="F36" s="13" t="n">
        <v>1400000</v>
      </c>
      <c r="G36" s="13" t="n">
        <v>1900000</v>
      </c>
      <c r="H36" s="14" t="s">
        <v>26</v>
      </c>
      <c r="I36" s="15" t="n">
        <f aca="false">IF(B36="","",MAX(0,B36-$B$6))</f>
        <v>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56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57</v>
      </c>
      <c r="I37" s="15" t="n">
        <f aca="false">IF(B37="","",MAX(0,B37-$B$6))</f>
        <v>16020410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57</v>
      </c>
      <c r="I38" s="15" t="n">
        <f aca="false">IF(B38="","",MAX(0,B38-$B$6))</f>
        <v>66020410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57</v>
      </c>
      <c r="I39" s="15" t="n">
        <f aca="false">IF(B39="","",MAX(0,B39-$B$6))</f>
        <v>116020410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57</v>
      </c>
      <c r="I40" s="15" t="n">
        <f aca="false">IF(B40="","",MAX(0,B40-$B$6))</f>
        <v>216020410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57</v>
      </c>
      <c r="I41" s="15" t="n">
        <f aca="false">IF(B41="","",MAX(0,B41-$B$6))</f>
        <v>366020410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57</v>
      </c>
      <c r="I42" s="15" t="n">
        <f aca="false">IF(B42="","",MAX(0,B42-$B$6))</f>
        <v>566020410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57</v>
      </c>
      <c r="I43" s="15" t="n">
        <f aca="false">IF(B43="","",MAX(0,B43-$B$6))</f>
        <v>766020410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57</v>
      </c>
      <c r="I44" s="15" t="n">
        <f aca="false">IF(B44="","",MAX(0,B44-$B$6))</f>
        <v>966020410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57</v>
      </c>
      <c r="I45" s="15" t="n">
        <f aca="false">IF(B45="","",MAX(0,B45-$B$6))</f>
        <v>1166020410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57</v>
      </c>
      <c r="I46" s="15" t="n">
        <f aca="false">IF(B46="","",MAX(0,B46-$B$6))</f>
        <v>1366020410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57</v>
      </c>
      <c r="I47" s="15" t="n">
        <f aca="false">IF(B47="","",MAX(0,B47-$B$6))</f>
        <v>1566020410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57</v>
      </c>
      <c r="I48" s="15" t="n">
        <f aca="false">IF(B48="","",MAX(0,B48-$B$6))</f>
        <v>1766020410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57</v>
      </c>
      <c r="I49" s="15" t="n">
        <f aca="false">IF(B49="","",MAX(0,B49-$B$6))</f>
        <v>1966020410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57</v>
      </c>
      <c r="I50" s="15" t="n">
        <f aca="false">IF(B50="","",MAX(0,B50-$B$6))</f>
        <v>2166020410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57</v>
      </c>
      <c r="I51" s="15" t="n">
        <f aca="false">IF(B51="","",MAX(0,B51-$B$6))</f>
        <v>2366020410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57</v>
      </c>
      <c r="I52" s="15" t="n">
        <f aca="false">IF(B52="","",MAX(0,B52-$B$6))</f>
        <v>2566020410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57</v>
      </c>
      <c r="I53" s="15" t="n">
        <f aca="false">IF(B53="","",MAX(0,B53-$B$6))</f>
        <v>2766020410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57</v>
      </c>
      <c r="I54" s="15" t="n">
        <f aca="false">IF(B54="","",MAX(0,B54-$B$6))</f>
        <v>2966020410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45000000</v>
      </c>
      <c r="F5" s="15" t="n">
        <f aca="false">IF(ISNUMBER(D5),MAX(0,D5-N(E5)),"")</f>
        <v>6000000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176445390</v>
      </c>
      <c r="F6" s="15" t="n">
        <f aca="false">IF(ISNUMBER(D6),MAX(0,D6-N(E6)),"")</f>
        <v>323554610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10850000</v>
      </c>
      <c r="F7" s="15" t="n">
        <f aca="false">IF(ISNUMBER(D7),MAX(0,D7-N(E7)),"")</f>
        <v>239150000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428796890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105182700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533979590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543374590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24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56625410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2026-10-16T13:46:50Z</dcterms:created>
  <dc:creator>openpyxl</dc:creator>
  <dc:description/>
  <dc:language>en-US</dc:language>
  <cp:lastModifiedBy/>
  <dcterms:modified xsi:type="dcterms:W3CDTF">2026-10-16T13:46:50Z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