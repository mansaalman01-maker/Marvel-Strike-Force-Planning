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<sst xmlns="http://schemas.openxmlformats.org/spreadsheetml/2006/main" count="221" uniqueCount="130">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</sst>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506918910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1400000</v>
      </c>
      <c r="G7" s="7" t="n">
        <f aca="false">SUMPRODUCT((B13:B54&lt;&gt;"")*(B13:B54&lt;=$B$6)*(H13:H54&lt;&gt;"Claimed")*G13:G54)</f>
        <v>1900000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18081090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516313910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93081090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28440993.9446738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18081090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43081090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93081090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143081090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243081090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393081090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593081090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793081090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993081090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1193081090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1393081090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1593081090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1793081090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1993081090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2193081090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2393081090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2593081090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2793081090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2993081090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163268010</v>
      </c>
      <c r="F6" s="15" t="n">
        <f aca="false">IF(ISNUMBER(D6),MAX(0,D6-N(E6)),"")</f>
        <v>336731990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10500000</v>
      </c>
      <c r="F7" s="15" t="n">
        <f aca="false">IF(ISNUMBER(D7),MAX(0,D7-N(E7)),"")</f>
        <v>239500000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409269510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97649400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506918910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516313910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83686090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2026-10-15T14:27:06Z</dcterms:created>
  <dc:creator>openpyxl</dc:creator>
  <dc:description/>
  <dc:language>en-US</dc:language>
  <cp:lastModifiedBy/>
  <dcterms:modified xsi:type="dcterms:W3CDTF">2026-10-15T14:27:06Z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