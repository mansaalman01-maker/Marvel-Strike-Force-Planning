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 Fest" sheetId="1" state="visible" r:id="rId3"/>
    <sheet name="Scor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<sst xmlns="http://schemas.openxmlformats.org/spreadsheetml/2006/main" count="221" uniqueCount="130">
  <si>
    <t xml:space="preserve">Iso Fest Milestones</t>
  </si>
  <si>
    <t xml:space="preserve">Update Current points and set each Status from its dropdown. Ion columns follow the order on the Iso-8 screen, left to right. Data from your screenshots on Oct 11, 2026.</t>
  </si>
  <si>
    <t xml:space="preserve">Scoring</t>
  </si>
  <si>
    <t xml:space="preserve">Earn 5-Diamond Professor Xavier</t>
  </si>
  <si>
    <t xml:space="preserve">Purple ions still to claim</t>
  </si>
  <si>
    <t xml:space="preserve">Ends (approx.)</t>
  </si>
  <si>
    <t xml:space="preserve">Ion 1</t>
  </si>
  <si>
    <t xml:space="preserve">Ion 2</t>
  </si>
  <si>
    <t xml:space="preserve">Ion 3</t>
  </si>
  <si>
    <t xml:space="preserve">Current points</t>
  </si>
  <si>
    <t xml:space="preserve">Up to target milestone</t>
  </si>
  <si>
    <t xml:space="preserve">Next milestone</t>
  </si>
  <si>
    <t xml:space="preserve">Ready to claim now</t>
  </si>
  <si>
    <t xml:space="preserve">Points to next</t>
  </si>
  <si>
    <t xml:space="preserve">Target milestone</t>
  </si>
  <si>
    <t xml:space="preserve">Projected with planned spending</t>
  </si>
  <si>
    <t xml:space="preserve">Points to target</t>
  </si>
  <si>
    <t xml:space="preserve">Highest milestone that reaches</t>
  </si>
  <si>
    <t xml:space="preserve">Points per day for target</t>
  </si>
  <si>
    <t xml:space="preserve">Milestone</t>
  </si>
  <si>
    <t xml:space="preserve">Points needed</t>
  </si>
  <si>
    <t xml:space="preserve">Character reward</t>
  </si>
  <si>
    <t xml:space="preserve">Other reward</t>
  </si>
  <si>
    <t xml:space="preserve">Status</t>
  </si>
  <si>
    <t xml:space="preserve">Points to go</t>
  </si>
  <si>
    <t xml:space="preserve">200K blue, 800K green nuggets</t>
  </si>
  <si>
    <t xml:space="preserve">Claimed</t>
  </si>
  <si>
    <t xml:space="preserve">600K blue nuggets</t>
  </si>
  <si>
    <t xml:space="preserve">400K blue nuggets; 1M, 1M, 1.72M blue ions</t>
  </si>
  <si>
    <t xml:space="preserve">Knull to 1 red star</t>
  </si>
  <si>
    <t xml:space="preserve">1M, 1M blue ions; 400K blue nuggets</t>
  </si>
  <si>
    <t xml:space="preserve">Professor Xavier to 1 red star</t>
  </si>
  <si>
    <t xml:space="preserve">1M, 1M, 3.45M blue ions</t>
  </si>
  <si>
    <t xml:space="preserve">Maestro to 1 red star</t>
  </si>
  <si>
    <t xml:space="preserve">2M, 1M blue ions; 450K blue nuggets</t>
  </si>
  <si>
    <t xml:space="preserve">Knull to 2 red stars</t>
  </si>
  <si>
    <t xml:space="preserve">2M, 1M, 3.45M blue ions</t>
  </si>
  <si>
    <t xml:space="preserve">Professor Xavier to 2 red stars</t>
  </si>
  <si>
    <t xml:space="preserve">2M, 2M, 3.45M blue ions</t>
  </si>
  <si>
    <t xml:space="preserve">Maestro to 2 red stars</t>
  </si>
  <si>
    <t xml:space="preserve">1 item; 2M, 3.45M blue ions</t>
  </si>
  <si>
    <t xml:space="preserve">100K purple nuggets</t>
  </si>
  <si>
    <t xml:space="preserve">Knull to 3 red stars</t>
  </si>
  <si>
    <t xml:space="preserve">400K purple nuggets</t>
  </si>
  <si>
    <t xml:space="preserve">Professor Xavier to 3 red stars</t>
  </si>
  <si>
    <t xml:space="preserve">Maestro to 3 red stars</t>
  </si>
  <si>
    <t xml:space="preserve">Knull to 4 red stars</t>
  </si>
  <si>
    <t xml:space="preserve">Professor Xavier to 4 red stars</t>
  </si>
  <si>
    <t xml:space="preserve">Maestro to 4 red stars</t>
  </si>
  <si>
    <t xml:space="preserve">Amounts cut off</t>
  </si>
  <si>
    <t xml:space="preserve">Knull to 5 red stars</t>
  </si>
  <si>
    <t xml:space="preserve">Professor Xavier to 5 red stars</t>
  </si>
  <si>
    <t xml:space="preserve">Maestro to 5 red stars</t>
  </si>
  <si>
    <t xml:space="preserve">Knull to 6 red stars</t>
  </si>
  <si>
    <t xml:space="preserve">Professor Xavier to 6 red stars</t>
  </si>
  <si>
    <t xml:space="preserve">Not claimed</t>
  </si>
  <si>
    <t xml:space="preserve">Maestro to 6 red stars</t>
  </si>
  <si>
    <t xml:space="preserve">Knull to 7 red stars</t>
  </si>
  <si>
    <t xml:space="preserve">Professor Xavier to 7 red stars</t>
  </si>
  <si>
    <t xml:space="preserve">Maestro to 7 red stars</t>
  </si>
  <si>
    <t xml:space="preserve">Spider-Man (Superior) Diamond 1</t>
  </si>
  <si>
    <t xml:space="preserve">Knull Diamond 1</t>
  </si>
  <si>
    <t xml:space="preserve">Professor Xavier Diamond 1</t>
  </si>
  <si>
    <t xml:space="preserve">Spider-Man (Superior) Diamond 2</t>
  </si>
  <si>
    <t xml:space="preserve">Knull Diamond 2</t>
  </si>
  <si>
    <t xml:space="preserve">Professor Xavier Diamond 2</t>
  </si>
  <si>
    <t xml:space="preserve">Knull Diamond 3</t>
  </si>
  <si>
    <t xml:space="preserve">Professor Xavier Diamond 3</t>
  </si>
  <si>
    <t xml:space="preserve">Spider-Man (Superior) Diamond 3</t>
  </si>
  <si>
    <t xml:space="preserve">Knull Diamond 4</t>
  </si>
  <si>
    <t xml:space="preserve">Professor Xavier Diamond 4</t>
  </si>
  <si>
    <t xml:space="preserve">Spider-Man (Superior) Diamond 4</t>
  </si>
  <si>
    <t xml:space="preserve">Knull Diamond 5</t>
  </si>
  <si>
    <t xml:space="preserve">Professor Xavier Diamond 5</t>
  </si>
  <si>
    <t xml:space="preserve">Milestones 1 to 10 gave blue ions and nuggets, listed under Other reward. Milestone 18's amounts were cut off in your screenshot.</t>
  </si>
  <si>
    <t xml:space="preserve">Iso Fest: how to earn points</t>
  </si>
  <si>
    <t xml:space="preserve">Fill Earned and Limit from the event info screen. Put what you plan to spend in Planned amount, and the summary shows where that gets you.</t>
  </si>
  <si>
    <t xml:space="preserve">Type</t>
  </si>
  <si>
    <t xml:space="preserve">Task</t>
  </si>
  <si>
    <t xml:space="preserve">Points each</t>
  </si>
  <si>
    <t xml:space="preserve">Limit</t>
  </si>
  <si>
    <t xml:space="preserve">Earned</t>
  </si>
  <si>
    <t xml:space="preserve">Points left</t>
  </si>
  <si>
    <t xml:space="preserve">Planned amount</t>
  </si>
  <si>
    <t xml:space="preserve">Planned points</t>
  </si>
  <si>
    <t xml:space="preserve">Notes</t>
  </si>
  <si>
    <t xml:space="preserve">Daily</t>
  </si>
  <si>
    <t xml:space="preserve">Log in</t>
  </si>
  <si>
    <t xml:space="preserve">Once a day</t>
  </si>
  <si>
    <t xml:space="preserve">Spend</t>
  </si>
  <si>
    <t xml:space="preserve">Spend Gold</t>
  </si>
  <si>
    <t xml:space="preserve">Planned is current gold plus the Thu and Sun Gold Rushes</t>
  </si>
  <si>
    <t xml:space="preserve">Spend Power Cores</t>
  </si>
  <si>
    <t xml:space="preserve">Includes cores spent before Iron Vengeance began</t>
  </si>
  <si>
    <t xml:space="preserve">Spend L4 Training Modules (orange)</t>
  </si>
  <si>
    <t xml:space="preserve">Ions</t>
  </si>
  <si>
    <t xml:space="preserve">Spend 1 Tier 2 Level 5 Ion</t>
  </si>
  <si>
    <t xml:space="preserve">Spend 1 Tier 2 Level 4 Ion</t>
  </si>
  <si>
    <t xml:space="preserve">Spend 1 Tier 2 Level 1 Ion</t>
  </si>
  <si>
    <t xml:space="preserve">Spend 1 Tier 3 Level 5 Ion</t>
  </si>
  <si>
    <t xml:space="preserve">Unlimited. Game doesn't show earned</t>
  </si>
  <si>
    <t xml:space="preserve">Spend 1 Tier 3 Level 4 Ion</t>
  </si>
  <si>
    <t xml:space="preserve">Spend 1 Tier 3 Level 1 Ion</t>
  </si>
  <si>
    <t xml:space="preserve">Spend 1 Tier 4 Level 1 Ion</t>
  </si>
  <si>
    <t xml:space="preserve">Upgrade</t>
  </si>
  <si>
    <t xml:space="preserve">Insidious Six to T3 L4</t>
  </si>
  <si>
    <t xml:space="preserve">Planned is number of upgrades</t>
  </si>
  <si>
    <t xml:space="preserve">Insidious Six to T3 L5</t>
  </si>
  <si>
    <t xml:space="preserve">Symbiote Six to T3 L4</t>
  </si>
  <si>
    <t xml:space="preserve">Symbiote Six to T3 L5</t>
  </si>
  <si>
    <t xml:space="preserve">Amazing Avenger to T3 L4</t>
  </si>
  <si>
    <t xml:space="preserve">Amazing Avenger to T3 L5</t>
  </si>
  <si>
    <t xml:space="preserve">Cosmic character to T3 L5</t>
  </si>
  <si>
    <t xml:space="preserve">Mephisto planned after milestone 24</t>
  </si>
  <si>
    <t xml:space="preserve">Global character to T3 L5</t>
  </si>
  <si>
    <t xml:space="preserve">City character to T3 L5</t>
  </si>
  <si>
    <t xml:space="preserve">Cosmic character to T4 L3</t>
  </si>
  <si>
    <t xml:space="preserve">Global character to T4 L3</t>
  </si>
  <si>
    <t xml:space="preserve">City character to T4 L3</t>
  </si>
  <si>
    <t xml:space="preserve">Offers</t>
  </si>
  <si>
    <t xml:space="preserve">Earn Iso Fest milestone points in select offers</t>
  </si>
  <si>
    <t xml:space="preserve">Unlimited</t>
  </si>
  <si>
    <t xml:space="preserve">Spare row</t>
  </si>
  <si>
    <t xml:space="preserve">Earned from tasks with a limit</t>
  </si>
  <si>
    <t xml:space="preserve">Unlimited tasks, ions and offers</t>
  </si>
  <si>
    <t xml:space="preserve">Points from planned spending</t>
  </si>
  <si>
    <t xml:space="preserve">Projected total</t>
  </si>
  <si>
    <t xml:space="preserve">Highest milestone reached</t>
  </si>
  <si>
    <t xml:space="preserve">Points short of target</t>
  </si>
  <si>
    <t xml:space="preserve">Target milestone is set on the Iso Fest tab. Limit blank means no limit.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</si>
</sst>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h:mm\ AM/PM"/>
    <numFmt numFmtId="166" formatCode="#,##0"/>
    <numFmt numFmtId="167" formatCode="#,##0;\-#,##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</row>
    <row r="5" customFormat="false" ht="15" hidden="false" customHeight="false" outlineLevel="0" collapsed="false">
      <c r="A5" s="3" t="s">
        <v>5</v>
      </c>
      <c r="B5" s="5" t="n">
        <v>46313.7083333333</v>
      </c>
      <c r="E5" s="3" t="s">
        <v>6</v>
      </c>
      <c r="F5" s="3" t="s">
        <v>7</v>
      </c>
      <c r="G5" s="3" t="s">
        <v>8</v>
      </c>
    </row>
    <row r="6" customFormat="false" ht="15" hidden="false" customHeight="false" outlineLevel="0" collapsed="false">
      <c r="A6" s="3" t="s">
        <v>9</v>
      </c>
      <c r="B6" s="6" t="n">
        <v>488127315</v>
      </c>
      <c r="D6" s="4" t="s">
        <v>10</v>
      </c>
      <c r="E6" s="7" t="n">
        <f aca="false">SUMPRODUCT((A13:A54&lt;=$B$9)*(H13:H54&lt;&gt;"Claimed")*E13:E54)</f>
        <v>2600000</v>
      </c>
      <c r="F6" s="7" t="n">
        <f aca="false">SUMPRODUCT((A13:A54&lt;=$B$9)*(H13:H54&lt;&gt;"Claimed")*F13:F54)</f>
        <v>5600000</v>
      </c>
      <c r="G6" s="7" t="n">
        <f aca="false">SUMPRODUCT((A13:A54&lt;=$B$9)*(H13:H54&lt;&gt;"Claimed")*G13:G54)</f>
        <v>7700000</v>
      </c>
    </row>
    <row r="7" customFormat="false" ht="15" hidden="false" customHeight="false" outlineLevel="0" collapsed="false">
      <c r="A7" s="3" t="s">
        <v>11</v>
      </c>
      <c r="B7" s="3" t="n">
        <f aca="false">IFERROR(INDEX(A13:A54,MATCH(TRUE(),INDEX(B13:B54&gt;B6,0),0)),"All done")</f>
        <v>23</v>
      </c>
      <c r="D7" s="4" t="s">
        <v>12</v>
      </c>
      <c r="E7" s="7" t="n">
        <f aca="false">SUMPRODUCT((B13:B54&lt;&gt;"")*(B13:B54&lt;=$B$6)*(H13:H54&lt;&gt;"Claimed")*E13:E54)</f>
        <v>0</v>
      </c>
      <c r="F7" s="7" t="n">
        <f aca="false">SUMPRODUCT((B13:B54&lt;&gt;"")*(B13:B54&lt;=$B$6)*(H13:H54&lt;&gt;"Claimed")*F13:F54)</f>
        <v>0</v>
      </c>
      <c r="G7" s="7" t="n">
        <f aca="false">SUMPRODUCT((B13:B54&lt;&gt;"")*(B13:B54&lt;=$B$6)*(H13:H54&lt;&gt;"Claimed")*G13:G54)</f>
        <v>0</v>
      </c>
    </row>
    <row r="8" customFormat="false" ht="15" hidden="false" customHeight="false" outlineLevel="0" collapsed="false">
      <c r="A8" s="3" t="s">
        <v>13</v>
      </c>
      <c r="B8" s="7" t="n">
        <f aca="false">IFERROR(INDEX(I13:I54,MATCH(TRUE(),INDEX(B13:B54&gt;B6,0),0)),0)</f>
        <v>11872685</v>
      </c>
    </row>
    <row r="9" customFormat="false" ht="15" hidden="false" customHeight="false" outlineLevel="0" collapsed="false">
      <c r="A9" s="3" t="s">
        <v>14</v>
      </c>
      <c r="B9" s="8" t="n">
        <v>26</v>
      </c>
      <c r="D9" s="3" t="s">
        <v>15</v>
      </c>
      <c r="G9" s="7" t="n">
        <f aca="false">Scoring!B36</f>
        <v>500667315</v>
      </c>
    </row>
    <row r="10" customFormat="false" ht="15" hidden="false" customHeight="false" outlineLevel="0" collapsed="false">
      <c r="A10" s="3" t="s">
        <v>16</v>
      </c>
      <c r="B10" s="7" t="n">
        <f aca="false">MAX(0,INDEX(B13:B54,B9)-B6)</f>
        <v>111872685</v>
      </c>
      <c r="D10" s="3" t="s">
        <v>17</v>
      </c>
      <c r="G10" s="7" t="n">
        <f aca="false">Scoring!B37</f>
        <v>23</v>
      </c>
    </row>
    <row r="11" customFormat="false" ht="15" hidden="false" customHeight="false" outlineLevel="0" collapsed="false">
      <c r="A11" s="3" t="s">
        <v>18</v>
      </c>
      <c r="B11" s="7" t="n">
        <f aca="true">IFERROR(B10/MAX(B5-NOW(),0.01),0)</f>
        <v>26513224.9216101</v>
      </c>
    </row>
    <row r="12" customFormat="false" ht="15" hidden="false" customHeight="false" outlineLevel="0" collapsed="false">
      <c r="A12" s="9" t="s">
        <v>19</v>
      </c>
      <c r="B12" s="9" t="s">
        <v>20</v>
      </c>
      <c r="C12" s="9" t="s">
        <v>21</v>
      </c>
      <c r="D12" s="9" t="s">
        <v>22</v>
      </c>
      <c r="E12" s="9" t="s">
        <v>6</v>
      </c>
      <c r="F12" s="9" t="s">
        <v>7</v>
      </c>
      <c r="G12" s="9" t="s">
        <v>8</v>
      </c>
      <c r="H12" s="9" t="s">
        <v>23</v>
      </c>
      <c r="I12" s="9" t="s">
        <v>24</v>
      </c>
    </row>
    <row r="13" customFormat="false" ht="15" hidden="false" customHeight="false" outlineLevel="0" collapsed="false">
      <c r="A13" s="10" t="n">
        <v>1</v>
      </c>
      <c r="B13" s="11"/>
      <c r="C13" s="12"/>
      <c r="D13" s="12" t="s">
        <v>25</v>
      </c>
      <c r="E13" s="13" t="n">
        <v>0</v>
      </c>
      <c r="F13" s="13" t="n">
        <v>0</v>
      </c>
      <c r="G13" s="13" t="n">
        <v>0</v>
      </c>
      <c r="H13" s="14" t="s">
        <v>26</v>
      </c>
      <c r="I13" s="15" t="str">
        <f aca="false">IF(B13="","",MAX(0,B13-$B$6))</f>
        <v/>
      </c>
    </row>
    <row r="14" customFormat="false" ht="15" hidden="false" customHeight="false" outlineLevel="0" collapsed="false">
      <c r="A14" s="10" t="n">
        <v>2</v>
      </c>
      <c r="B14" s="11"/>
      <c r="C14" s="12"/>
      <c r="D14" s="12" t="s">
        <v>27</v>
      </c>
      <c r="E14" s="13" t="n">
        <v>0</v>
      </c>
      <c r="F14" s="13" t="n">
        <v>0</v>
      </c>
      <c r="G14" s="13" t="n">
        <v>0</v>
      </c>
      <c r="H14" s="14" t="s">
        <v>26</v>
      </c>
      <c r="I14" s="15" t="str">
        <f aca="false">IF(B14="","",MAX(0,B14-$B$6))</f>
        <v/>
      </c>
    </row>
    <row r="15" customFormat="false" ht="15" hidden="false" customHeight="false" outlineLevel="0" collapsed="false">
      <c r="A15" s="10" t="n">
        <v>3</v>
      </c>
      <c r="B15" s="11"/>
      <c r="C15" s="12"/>
      <c r="D15" s="12" t="s">
        <v>28</v>
      </c>
      <c r="E15" s="13" t="n">
        <v>0</v>
      </c>
      <c r="F15" s="13" t="n">
        <v>0</v>
      </c>
      <c r="G15" s="13" t="n">
        <v>0</v>
      </c>
      <c r="H15" s="14" t="s">
        <v>26</v>
      </c>
      <c r="I15" s="15" t="str">
        <f aca="false">IF(B15="","",MAX(0,B15-$B$6))</f>
        <v/>
      </c>
    </row>
    <row r="16" customFormat="false" ht="15" hidden="false" customHeight="false" outlineLevel="0" collapsed="false">
      <c r="A16" s="10" t="n">
        <v>4</v>
      </c>
      <c r="B16" s="11"/>
      <c r="C16" s="12"/>
      <c r="D16" s="12" t="s">
        <v>28</v>
      </c>
      <c r="E16" s="13" t="n">
        <v>0</v>
      </c>
      <c r="F16" s="13" t="n">
        <v>0</v>
      </c>
      <c r="G16" s="13" t="n">
        <v>0</v>
      </c>
      <c r="H16" s="14" t="s">
        <v>26</v>
      </c>
      <c r="I16" s="15" t="str">
        <f aca="false">IF(B16="","",MAX(0,B16-$B$6))</f>
        <v/>
      </c>
    </row>
    <row r="17" customFormat="false" ht="15" hidden="false" customHeight="false" outlineLevel="0" collapsed="false">
      <c r="A17" s="10" t="n">
        <v>5</v>
      </c>
      <c r="B17" s="11"/>
      <c r="C17" s="12" t="s">
        <v>29</v>
      </c>
      <c r="D17" s="12" t="s">
        <v>30</v>
      </c>
      <c r="E17" s="13" t="n">
        <v>0</v>
      </c>
      <c r="F17" s="13" t="n">
        <v>0</v>
      </c>
      <c r="G17" s="13" t="n">
        <v>0</v>
      </c>
      <c r="H17" s="14" t="s">
        <v>26</v>
      </c>
      <c r="I17" s="15" t="str">
        <f aca="false">IF(B17="","",MAX(0,B17-$B$6))</f>
        <v/>
      </c>
    </row>
    <row r="18" customFormat="false" ht="15" hidden="false" customHeight="false" outlineLevel="0" collapsed="false">
      <c r="A18" s="10" t="n">
        <v>6</v>
      </c>
      <c r="B18" s="11"/>
      <c r="C18" s="12" t="s">
        <v>31</v>
      </c>
      <c r="D18" s="12" t="s">
        <v>32</v>
      </c>
      <c r="E18" s="13" t="n">
        <v>0</v>
      </c>
      <c r="F18" s="13" t="n">
        <v>0</v>
      </c>
      <c r="G18" s="13" t="n">
        <v>0</v>
      </c>
      <c r="H18" s="14" t="s">
        <v>26</v>
      </c>
      <c r="I18" s="15" t="str">
        <f aca="false">IF(B18="","",MAX(0,B18-$B$6))</f>
        <v/>
      </c>
    </row>
    <row r="19" customFormat="false" ht="15" hidden="false" customHeight="false" outlineLevel="0" collapsed="false">
      <c r="A19" s="10" t="n">
        <v>7</v>
      </c>
      <c r="B19" s="11"/>
      <c r="C19" s="12" t="s">
        <v>33</v>
      </c>
      <c r="D19" s="12" t="s">
        <v>34</v>
      </c>
      <c r="E19" s="13" t="n">
        <v>0</v>
      </c>
      <c r="F19" s="13" t="n">
        <v>0</v>
      </c>
      <c r="G19" s="13" t="n">
        <v>0</v>
      </c>
      <c r="H19" s="14" t="s">
        <v>26</v>
      </c>
      <c r="I19" s="15" t="str">
        <f aca="false">IF(B19="","",MAX(0,B19-$B$6))</f>
        <v/>
      </c>
    </row>
    <row r="20" customFormat="false" ht="15" hidden="false" customHeight="false" outlineLevel="0" collapsed="false">
      <c r="A20" s="10" t="n">
        <v>8</v>
      </c>
      <c r="B20" s="11"/>
      <c r="C20" s="12" t="s">
        <v>35</v>
      </c>
      <c r="D20" s="12" t="s">
        <v>36</v>
      </c>
      <c r="E20" s="13" t="n">
        <v>0</v>
      </c>
      <c r="F20" s="13" t="n">
        <v>0</v>
      </c>
      <c r="G20" s="13" t="n">
        <v>0</v>
      </c>
      <c r="H20" s="14" t="s">
        <v>26</v>
      </c>
      <c r="I20" s="15" t="str">
        <f aca="false">IF(B20="","",MAX(0,B20-$B$6))</f>
        <v/>
      </c>
    </row>
    <row r="21" customFormat="false" ht="15" hidden="false" customHeight="false" outlineLevel="0" collapsed="false">
      <c r="A21" s="10" t="n">
        <v>9</v>
      </c>
      <c r="B21" s="11"/>
      <c r="C21" s="12" t="s">
        <v>37</v>
      </c>
      <c r="D21" s="12" t="s">
        <v>38</v>
      </c>
      <c r="E21" s="13" t="n">
        <v>0</v>
      </c>
      <c r="F21" s="13" t="n">
        <v>0</v>
      </c>
      <c r="G21" s="13" t="n">
        <v>0</v>
      </c>
      <c r="H21" s="14" t="s">
        <v>26</v>
      </c>
      <c r="I21" s="15" t="str">
        <f aca="false">IF(B21="","",MAX(0,B21-$B$6))</f>
        <v/>
      </c>
    </row>
    <row r="22" customFormat="false" ht="15" hidden="false" customHeight="false" outlineLevel="0" collapsed="false">
      <c r="A22" s="10" t="n">
        <v>10</v>
      </c>
      <c r="B22" s="11"/>
      <c r="C22" s="12" t="s">
        <v>39</v>
      </c>
      <c r="D22" s="12" t="s">
        <v>40</v>
      </c>
      <c r="E22" s="13" t="n">
        <v>0</v>
      </c>
      <c r="F22" s="13" t="n">
        <v>0</v>
      </c>
      <c r="G22" s="13" t="n">
        <v>0</v>
      </c>
      <c r="H22" s="14" t="s">
        <v>26</v>
      </c>
      <c r="I22" s="15" t="str">
        <f aca="false">IF(B22="","",MAX(0,B22-$B$6))</f>
        <v/>
      </c>
    </row>
    <row r="23" customFormat="false" ht="15" hidden="false" customHeight="false" outlineLevel="0" collapsed="false">
      <c r="A23" s="10" t="n">
        <v>11</v>
      </c>
      <c r="B23" s="11"/>
      <c r="C23" s="12"/>
      <c r="D23" s="12" t="s">
        <v>41</v>
      </c>
      <c r="E23" s="13" t="n">
        <v>900000</v>
      </c>
      <c r="F23" s="13" t="n">
        <v>1300000</v>
      </c>
      <c r="G23" s="13" t="n">
        <v>1900000</v>
      </c>
      <c r="H23" s="14" t="s">
        <v>26</v>
      </c>
      <c r="I23" s="15" t="str">
        <f aca="false">IF(B23="","",MAX(0,B23-$B$6))</f>
        <v/>
      </c>
    </row>
    <row r="24" customFormat="false" ht="15" hidden="false" customHeight="false" outlineLevel="0" collapsed="false">
      <c r="A24" s="10" t="n">
        <v>12</v>
      </c>
      <c r="B24" s="11"/>
      <c r="C24" s="12" t="s">
        <v>42</v>
      </c>
      <c r="D24" s="12" t="s">
        <v>43</v>
      </c>
      <c r="E24" s="13" t="n">
        <v>900000</v>
      </c>
      <c r="F24" s="13" t="n">
        <v>0</v>
      </c>
      <c r="G24" s="13" t="n">
        <v>1900000</v>
      </c>
      <c r="H24" s="14" t="s">
        <v>26</v>
      </c>
      <c r="I24" s="15" t="str">
        <f aca="false">IF(B24="","",MAX(0,B24-$B$6))</f>
        <v/>
      </c>
    </row>
    <row r="25" customFormat="false" ht="15" hidden="false" customHeight="false" outlineLevel="0" collapsed="false">
      <c r="A25" s="10" t="n">
        <v>13</v>
      </c>
      <c r="B25" s="11"/>
      <c r="C25" s="12" t="s">
        <v>44</v>
      </c>
      <c r="D25" s="12" t="s">
        <v>43</v>
      </c>
      <c r="E25" s="13" t="n">
        <v>0</v>
      </c>
      <c r="F25" s="13" t="n">
        <v>1300000</v>
      </c>
      <c r="G25" s="13" t="n">
        <v>1900000</v>
      </c>
      <c r="H25" s="14" t="s">
        <v>26</v>
      </c>
      <c r="I25" s="15" t="str">
        <f aca="false">IF(B25="","",MAX(0,B25-$B$6))</f>
        <v/>
      </c>
    </row>
    <row r="26" customFormat="false" ht="15" hidden="false" customHeight="false" outlineLevel="0" collapsed="false">
      <c r="A26" s="10" t="n">
        <v>14</v>
      </c>
      <c r="B26" s="11"/>
      <c r="C26" s="12" t="s">
        <v>45</v>
      </c>
      <c r="D26" s="12" t="s">
        <v>43</v>
      </c>
      <c r="E26" s="13" t="n">
        <v>900000</v>
      </c>
      <c r="F26" s="13" t="n">
        <v>1300000</v>
      </c>
      <c r="G26" s="13" t="n">
        <v>0</v>
      </c>
      <c r="H26" s="14" t="s">
        <v>26</v>
      </c>
      <c r="I26" s="15" t="str">
        <f aca="false">IF(B26="","",MAX(0,B26-$B$6))</f>
        <v/>
      </c>
    </row>
    <row r="27" customFormat="false" ht="15" hidden="false" customHeight="false" outlineLevel="0" collapsed="false">
      <c r="A27" s="10" t="n">
        <v>15</v>
      </c>
      <c r="B27" s="13" t="n">
        <v>300000000</v>
      </c>
      <c r="C27" s="12"/>
      <c r="D27" s="12" t="s">
        <v>43</v>
      </c>
      <c r="E27" s="13" t="n">
        <v>900000</v>
      </c>
      <c r="F27" s="13" t="n">
        <v>1300000</v>
      </c>
      <c r="G27" s="13" t="n">
        <v>1900000</v>
      </c>
      <c r="H27" s="14" t="s">
        <v>26</v>
      </c>
      <c r="I27" s="15" t="n">
        <f aca="false">IF(B27="","",MAX(0,B27-$B$6))</f>
        <v>0</v>
      </c>
    </row>
    <row r="28" customFormat="false" ht="15" hidden="false" customHeight="false" outlineLevel="0" collapsed="false">
      <c r="A28" s="10" t="n">
        <v>16</v>
      </c>
      <c r="B28" s="13" t="n">
        <v>325000000</v>
      </c>
      <c r="C28" s="12" t="s">
        <v>46</v>
      </c>
      <c r="D28" s="12" t="s">
        <v>43</v>
      </c>
      <c r="E28" s="13" t="n">
        <v>950000</v>
      </c>
      <c r="F28" s="13" t="n">
        <v>0</v>
      </c>
      <c r="G28" s="13" t="n">
        <v>1900000</v>
      </c>
      <c r="H28" s="14" t="s">
        <v>26</v>
      </c>
      <c r="I28" s="15" t="n">
        <f aca="false">IF(B28="","",MAX(0,B28-$B$6))</f>
        <v>0</v>
      </c>
    </row>
    <row r="29" customFormat="false" ht="15" hidden="false" customHeight="false" outlineLevel="0" collapsed="false">
      <c r="A29" s="10" t="n">
        <v>17</v>
      </c>
      <c r="B29" s="13" t="n">
        <v>350000000</v>
      </c>
      <c r="C29" s="12" t="s">
        <v>47</v>
      </c>
      <c r="D29" s="12" t="s">
        <v>43</v>
      </c>
      <c r="E29" s="13" t="n">
        <v>0</v>
      </c>
      <c r="F29" s="13" t="n">
        <v>1400000</v>
      </c>
      <c r="G29" s="13" t="n">
        <v>1900000</v>
      </c>
      <c r="H29" s="14" t="s">
        <v>26</v>
      </c>
      <c r="I29" s="15" t="n">
        <f aca="false">IF(B29="","",MAX(0,B29-$B$6))</f>
        <v>0</v>
      </c>
    </row>
    <row r="30" customFormat="false" ht="15" hidden="false" customHeight="false" outlineLevel="0" collapsed="false">
      <c r="A30" s="10" t="n">
        <v>18</v>
      </c>
      <c r="B30" s="13" t="n">
        <v>375000000</v>
      </c>
      <c r="C30" s="12" t="s">
        <v>48</v>
      </c>
      <c r="D30" s="12" t="s">
        <v>49</v>
      </c>
      <c r="E30" s="11"/>
      <c r="F30" s="11"/>
      <c r="G30" s="11"/>
      <c r="H30" s="14" t="s">
        <v>26</v>
      </c>
      <c r="I30" s="15" t="n">
        <f aca="false">IF(B30="","",MAX(0,B30-$B$6))</f>
        <v>0</v>
      </c>
    </row>
    <row r="31" customFormat="false" ht="15" hidden="false" customHeight="false" outlineLevel="0" collapsed="false">
      <c r="A31" s="10" t="n">
        <v>19</v>
      </c>
      <c r="B31" s="13" t="n">
        <v>400000000</v>
      </c>
      <c r="C31" s="12" t="s">
        <v>50</v>
      </c>
      <c r="D31" s="12" t="s">
        <v>43</v>
      </c>
      <c r="E31" s="13" t="n">
        <v>0</v>
      </c>
      <c r="F31" s="13" t="n">
        <v>1400000</v>
      </c>
      <c r="G31" s="13" t="n">
        <v>1900000</v>
      </c>
      <c r="H31" s="14" t="s">
        <v>26</v>
      </c>
      <c r="I31" s="15" t="n">
        <f aca="false">IF(B31="","",MAX(0,B31-$B$6))</f>
        <v>0</v>
      </c>
    </row>
    <row r="32" customFormat="false" ht="15" hidden="false" customHeight="false" outlineLevel="0" collapsed="false">
      <c r="A32" s="10" t="n">
        <v>20</v>
      </c>
      <c r="B32" s="13" t="n">
        <v>425000000</v>
      </c>
      <c r="C32" s="12" t="s">
        <v>51</v>
      </c>
      <c r="D32" s="12"/>
      <c r="E32" s="13" t="n">
        <v>1300000</v>
      </c>
      <c r="F32" s="13" t="n">
        <v>1400000</v>
      </c>
      <c r="G32" s="13" t="n">
        <v>1900000</v>
      </c>
      <c r="H32" s="14" t="s">
        <v>26</v>
      </c>
      <c r="I32" s="15" t="n">
        <f aca="false">IF(B32="","",MAX(0,B32-$B$6))</f>
        <v>0</v>
      </c>
    </row>
    <row r="33" customFormat="false" ht="15" hidden="false" customHeight="false" outlineLevel="0" collapsed="false">
      <c r="A33" s="10" t="n">
        <v>21</v>
      </c>
      <c r="B33" s="13" t="n">
        <v>450000000</v>
      </c>
      <c r="C33" s="12" t="s">
        <v>52</v>
      </c>
      <c r="D33" s="12" t="s">
        <v>43</v>
      </c>
      <c r="E33" s="13" t="n">
        <v>0</v>
      </c>
      <c r="F33" s="13" t="n">
        <v>1400000</v>
      </c>
      <c r="G33" s="13" t="n">
        <v>1900000</v>
      </c>
      <c r="H33" s="14" t="s">
        <v>26</v>
      </c>
      <c r="I33" s="15" t="n">
        <f aca="false">IF(B33="","",MAX(0,B33-$B$6))</f>
        <v>0</v>
      </c>
    </row>
    <row r="34" customFormat="false" ht="15" hidden="false" customHeight="false" outlineLevel="0" collapsed="false">
      <c r="A34" s="10" t="n">
        <v>22</v>
      </c>
      <c r="B34" s="13" t="n">
        <v>475000000</v>
      </c>
      <c r="C34" s="12" t="s">
        <v>53</v>
      </c>
      <c r="D34" s="12"/>
      <c r="E34" s="13" t="n">
        <v>1300000</v>
      </c>
      <c r="F34" s="13" t="n">
        <v>1400000</v>
      </c>
      <c r="G34" s="13" t="n">
        <v>1900000</v>
      </c>
      <c r="H34" s="14" t="s">
        <v>26</v>
      </c>
      <c r="I34" s="15" t="n">
        <f aca="false">IF(B34="","",MAX(0,B34-$B$6))</f>
        <v>0</v>
      </c>
    </row>
    <row r="35" customFormat="false" ht="15" hidden="false" customHeight="false" outlineLevel="0" collapsed="false">
      <c r="A35" s="10" t="n">
        <v>23</v>
      </c>
      <c r="B35" s="13" t="n">
        <v>500000000</v>
      </c>
      <c r="C35" s="12" t="s">
        <v>54</v>
      </c>
      <c r="D35" s="12" t="s">
        <v>43</v>
      </c>
      <c r="E35" s="13" t="n">
        <v>0</v>
      </c>
      <c r="F35" s="13" t="n">
        <v>1400000</v>
      </c>
      <c r="G35" s="13" t="n">
        <v>1900000</v>
      </c>
      <c r="H35" s="14" t="s">
        <v>55</v>
      </c>
      <c r="I35" s="15" t="n">
        <f aca="false">IF(B35="","",MAX(0,B35-$B$6))</f>
        <v>11872685</v>
      </c>
    </row>
    <row r="36" customFormat="false" ht="15" hidden="false" customHeight="false" outlineLevel="0" collapsed="false">
      <c r="A36" s="10" t="n">
        <v>24</v>
      </c>
      <c r="B36" s="13" t="n">
        <v>525000000</v>
      </c>
      <c r="C36" s="12" t="s">
        <v>56</v>
      </c>
      <c r="D36" s="12"/>
      <c r="E36" s="13" t="n">
        <v>1300000</v>
      </c>
      <c r="F36" s="13" t="n">
        <v>1400000</v>
      </c>
      <c r="G36" s="13" t="n">
        <v>1900000</v>
      </c>
      <c r="H36" s="14" t="s">
        <v>55</v>
      </c>
      <c r="I36" s="15" t="n">
        <f aca="false">IF(B36="","",MAX(0,B36-$B$6))</f>
        <v>36872685</v>
      </c>
    </row>
    <row r="37" customFormat="false" ht="15" hidden="false" customHeight="false" outlineLevel="0" collapsed="false">
      <c r="A37" s="10" t="n">
        <v>25</v>
      </c>
      <c r="B37" s="13" t="n">
        <v>550000000</v>
      </c>
      <c r="C37" s="12" t="s">
        <v>57</v>
      </c>
      <c r="D37" s="12" t="s">
        <v>43</v>
      </c>
      <c r="E37" s="13" t="n">
        <v>0</v>
      </c>
      <c r="F37" s="13" t="n">
        <v>1400000</v>
      </c>
      <c r="G37" s="13" t="n">
        <v>1900000</v>
      </c>
      <c r="H37" s="14" t="s">
        <v>55</v>
      </c>
      <c r="I37" s="15" t="n">
        <f aca="false">IF(B37="","",MAX(0,B37-$B$6))</f>
        <v>61872685</v>
      </c>
    </row>
    <row r="38" customFormat="false" ht="15" hidden="false" customHeight="false" outlineLevel="0" collapsed="false">
      <c r="A38" s="10" t="n">
        <v>26</v>
      </c>
      <c r="B38" s="13" t="n">
        <v>600000000</v>
      </c>
      <c r="C38" s="12" t="s">
        <v>58</v>
      </c>
      <c r="D38" s="12"/>
      <c r="E38" s="13" t="n">
        <v>1300000</v>
      </c>
      <c r="F38" s="13" t="n">
        <v>1400000</v>
      </c>
      <c r="G38" s="13" t="n">
        <v>2000000</v>
      </c>
      <c r="H38" s="14" t="s">
        <v>55</v>
      </c>
      <c r="I38" s="15" t="n">
        <f aca="false">IF(B38="","",MAX(0,B38-$B$6))</f>
        <v>111872685</v>
      </c>
    </row>
    <row r="39" customFormat="false" ht="15" hidden="false" customHeight="false" outlineLevel="0" collapsed="false">
      <c r="A39" s="10" t="n">
        <v>27</v>
      </c>
      <c r="B39" s="13" t="n">
        <v>650000000</v>
      </c>
      <c r="C39" s="12" t="s">
        <v>59</v>
      </c>
      <c r="D39" s="12" t="s">
        <v>43</v>
      </c>
      <c r="E39" s="13" t="n">
        <v>0</v>
      </c>
      <c r="F39" s="13" t="n">
        <v>1400000</v>
      </c>
      <c r="G39" s="13" t="n">
        <v>2000000</v>
      </c>
      <c r="H39" s="14" t="s">
        <v>55</v>
      </c>
      <c r="I39" s="15" t="n">
        <f aca="false">IF(B39="","",MAX(0,B39-$B$6))</f>
        <v>161872685</v>
      </c>
    </row>
    <row r="40" customFormat="false" ht="15" hidden="false" customHeight="false" outlineLevel="0" collapsed="false">
      <c r="A40" s="10" t="n">
        <v>28</v>
      </c>
      <c r="B40" s="13" t="n">
        <v>750000000</v>
      </c>
      <c r="C40" s="12" t="s">
        <v>60</v>
      </c>
      <c r="D40" s="12"/>
      <c r="E40" s="13" t="n">
        <v>1300000</v>
      </c>
      <c r="F40" s="13" t="n">
        <v>1400000</v>
      </c>
      <c r="G40" s="13" t="n">
        <v>2000000</v>
      </c>
      <c r="H40" s="14" t="s">
        <v>55</v>
      </c>
      <c r="I40" s="15" t="n">
        <f aca="false">IF(B40="","",MAX(0,B40-$B$6))</f>
        <v>261872685</v>
      </c>
    </row>
    <row r="41" customFormat="false" ht="15" hidden="false" customHeight="false" outlineLevel="0" collapsed="false">
      <c r="A41" s="10" t="n">
        <v>29</v>
      </c>
      <c r="B41" s="13" t="n">
        <v>900000000</v>
      </c>
      <c r="C41" s="12" t="s">
        <v>61</v>
      </c>
      <c r="D41" s="12" t="s">
        <v>43</v>
      </c>
      <c r="E41" s="13" t="n">
        <v>0</v>
      </c>
      <c r="F41" s="13" t="n">
        <v>1400000</v>
      </c>
      <c r="G41" s="13" t="n">
        <v>2000000</v>
      </c>
      <c r="H41" s="14" t="s">
        <v>55</v>
      </c>
      <c r="I41" s="15" t="n">
        <f aca="false">IF(B41="","",MAX(0,B41-$B$6))</f>
        <v>411872685</v>
      </c>
    </row>
    <row r="42" customFormat="false" ht="15" hidden="false" customHeight="false" outlineLevel="0" collapsed="false">
      <c r="A42" s="10" t="n">
        <v>30</v>
      </c>
      <c r="B42" s="13" t="n">
        <v>1100000000</v>
      </c>
      <c r="C42" s="12" t="s">
        <v>62</v>
      </c>
      <c r="D42" s="12"/>
      <c r="E42" s="13" t="n">
        <v>1400000</v>
      </c>
      <c r="F42" s="13" t="n">
        <v>1400000</v>
      </c>
      <c r="G42" s="13" t="n">
        <v>2000000</v>
      </c>
      <c r="H42" s="14" t="s">
        <v>55</v>
      </c>
      <c r="I42" s="15" t="n">
        <f aca="false">IF(B42="","",MAX(0,B42-$B$6))</f>
        <v>611872685</v>
      </c>
    </row>
    <row r="43" customFormat="false" ht="15" hidden="false" customHeight="false" outlineLevel="0" collapsed="false">
      <c r="A43" s="10" t="n">
        <v>31</v>
      </c>
      <c r="B43" s="13" t="n">
        <v>1300000000</v>
      </c>
      <c r="C43" s="12" t="s">
        <v>63</v>
      </c>
      <c r="D43" s="12" t="s">
        <v>43</v>
      </c>
      <c r="E43" s="13" t="n">
        <v>0</v>
      </c>
      <c r="F43" s="13" t="n">
        <v>1400000</v>
      </c>
      <c r="G43" s="13" t="n">
        <v>2000000</v>
      </c>
      <c r="H43" s="14" t="s">
        <v>55</v>
      </c>
      <c r="I43" s="15" t="n">
        <f aca="false">IF(B43="","",MAX(0,B43-$B$6))</f>
        <v>811872685</v>
      </c>
    </row>
    <row r="44" customFormat="false" ht="15" hidden="false" customHeight="false" outlineLevel="0" collapsed="false">
      <c r="A44" s="10" t="n">
        <v>32</v>
      </c>
      <c r="B44" s="13" t="n">
        <v>1500000000</v>
      </c>
      <c r="C44" s="12" t="s">
        <v>64</v>
      </c>
      <c r="D44" s="12"/>
      <c r="E44" s="13" t="n">
        <v>1400000</v>
      </c>
      <c r="F44" s="13" t="n">
        <v>1400000</v>
      </c>
      <c r="G44" s="13" t="n">
        <v>2700000</v>
      </c>
      <c r="H44" s="14" t="s">
        <v>55</v>
      </c>
      <c r="I44" s="15" t="n">
        <f aca="false">IF(B44="","",MAX(0,B44-$B$6))</f>
        <v>1011872685</v>
      </c>
    </row>
    <row r="45" customFormat="false" ht="15" hidden="false" customHeight="false" outlineLevel="0" collapsed="false">
      <c r="A45" s="10" t="n">
        <v>33</v>
      </c>
      <c r="B45" s="13" t="n">
        <v>1700000000</v>
      </c>
      <c r="C45" s="12" t="s">
        <v>65</v>
      </c>
      <c r="D45" s="12"/>
      <c r="E45" s="13" t="n">
        <v>1400000</v>
      </c>
      <c r="F45" s="13" t="n">
        <v>1400000</v>
      </c>
      <c r="G45" s="13" t="n">
        <v>2700000</v>
      </c>
      <c r="H45" s="14" t="s">
        <v>55</v>
      </c>
      <c r="I45" s="15" t="n">
        <f aca="false">IF(B45="","",MAX(0,B45-$B$6))</f>
        <v>1211872685</v>
      </c>
    </row>
    <row r="46" customFormat="false" ht="15" hidden="false" customHeight="false" outlineLevel="0" collapsed="false">
      <c r="A46" s="10" t="n">
        <v>34</v>
      </c>
      <c r="B46" s="13" t="n">
        <v>1900000000</v>
      </c>
      <c r="C46" s="12" t="s">
        <v>63</v>
      </c>
      <c r="D46" s="12"/>
      <c r="E46" s="13" t="n">
        <v>1400000</v>
      </c>
      <c r="F46" s="13" t="n">
        <v>1400000</v>
      </c>
      <c r="G46" s="13" t="n">
        <v>2700000</v>
      </c>
      <c r="H46" s="14" t="s">
        <v>55</v>
      </c>
      <c r="I46" s="15" t="n">
        <f aca="false">IF(B46="","",MAX(0,B46-$B$6))</f>
        <v>1411872685</v>
      </c>
    </row>
    <row r="47" customFormat="false" ht="15" hidden="false" customHeight="false" outlineLevel="0" collapsed="false">
      <c r="A47" s="10" t="n">
        <v>35</v>
      </c>
      <c r="B47" s="13" t="n">
        <v>2100000000</v>
      </c>
      <c r="C47" s="12" t="s">
        <v>66</v>
      </c>
      <c r="D47" s="12"/>
      <c r="E47" s="13" t="n">
        <v>1400000</v>
      </c>
      <c r="F47" s="13" t="n">
        <v>1400000</v>
      </c>
      <c r="G47" s="13" t="n">
        <v>2700000</v>
      </c>
      <c r="H47" s="14" t="s">
        <v>55</v>
      </c>
      <c r="I47" s="15" t="n">
        <f aca="false">IF(B47="","",MAX(0,B47-$B$6))</f>
        <v>1611872685</v>
      </c>
    </row>
    <row r="48" customFormat="false" ht="15" hidden="false" customHeight="false" outlineLevel="0" collapsed="false">
      <c r="A48" s="10" t="n">
        <v>36</v>
      </c>
      <c r="B48" s="13" t="n">
        <v>2300000000</v>
      </c>
      <c r="C48" s="12" t="s">
        <v>67</v>
      </c>
      <c r="D48" s="12"/>
      <c r="E48" s="13" t="n">
        <v>1400000</v>
      </c>
      <c r="F48" s="13" t="n">
        <v>1400000</v>
      </c>
      <c r="G48" s="13" t="n">
        <v>2700000</v>
      </c>
      <c r="H48" s="14" t="s">
        <v>55</v>
      </c>
      <c r="I48" s="15" t="n">
        <f aca="false">IF(B48="","",MAX(0,B48-$B$6))</f>
        <v>1811872685</v>
      </c>
    </row>
    <row r="49" customFormat="false" ht="15" hidden="false" customHeight="false" outlineLevel="0" collapsed="false">
      <c r="A49" s="10" t="n">
        <v>37</v>
      </c>
      <c r="B49" s="13" t="n">
        <v>2500000000</v>
      </c>
      <c r="C49" s="12" t="s">
        <v>68</v>
      </c>
      <c r="D49" s="12"/>
      <c r="E49" s="13" t="n">
        <v>1400000</v>
      </c>
      <c r="F49" s="13" t="n">
        <v>1400000</v>
      </c>
      <c r="G49" s="13" t="n">
        <v>2700000</v>
      </c>
      <c r="H49" s="14" t="s">
        <v>55</v>
      </c>
      <c r="I49" s="15" t="n">
        <f aca="false">IF(B49="","",MAX(0,B49-$B$6))</f>
        <v>2011872685</v>
      </c>
    </row>
    <row r="50" customFormat="false" ht="15" hidden="false" customHeight="false" outlineLevel="0" collapsed="false">
      <c r="A50" s="10" t="n">
        <v>38</v>
      </c>
      <c r="B50" s="13" t="n">
        <v>2700000000</v>
      </c>
      <c r="C50" s="12" t="s">
        <v>69</v>
      </c>
      <c r="D50" s="12"/>
      <c r="E50" s="13" t="n">
        <v>1400000</v>
      </c>
      <c r="F50" s="13" t="n">
        <v>1400000</v>
      </c>
      <c r="G50" s="13" t="n">
        <v>2700000</v>
      </c>
      <c r="H50" s="14" t="s">
        <v>55</v>
      </c>
      <c r="I50" s="15" t="n">
        <f aca="false">IF(B50="","",MAX(0,B50-$B$6))</f>
        <v>2211872685</v>
      </c>
    </row>
    <row r="51" customFormat="false" ht="15" hidden="false" customHeight="false" outlineLevel="0" collapsed="false">
      <c r="A51" s="10" t="n">
        <v>39</v>
      </c>
      <c r="B51" s="13" t="n">
        <v>2900000000</v>
      </c>
      <c r="C51" s="12" t="s">
        <v>70</v>
      </c>
      <c r="D51" s="12"/>
      <c r="E51" s="13" t="n">
        <v>1400000</v>
      </c>
      <c r="F51" s="13" t="n">
        <v>1400000</v>
      </c>
      <c r="G51" s="13" t="n">
        <v>2700000</v>
      </c>
      <c r="H51" s="14" t="s">
        <v>55</v>
      </c>
      <c r="I51" s="15" t="n">
        <f aca="false">IF(B51="","",MAX(0,B51-$B$6))</f>
        <v>2411872685</v>
      </c>
    </row>
    <row r="52" customFormat="false" ht="15" hidden="false" customHeight="false" outlineLevel="0" collapsed="false">
      <c r="A52" s="10" t="n">
        <v>40</v>
      </c>
      <c r="B52" s="13" t="n">
        <v>3100000000</v>
      </c>
      <c r="C52" s="12" t="s">
        <v>71</v>
      </c>
      <c r="D52" s="12"/>
      <c r="E52" s="13" t="n">
        <v>1400000</v>
      </c>
      <c r="F52" s="13" t="n">
        <v>1400000</v>
      </c>
      <c r="G52" s="13" t="n">
        <v>2700000</v>
      </c>
      <c r="H52" s="14" t="s">
        <v>55</v>
      </c>
      <c r="I52" s="15" t="n">
        <f aca="false">IF(B52="","",MAX(0,B52-$B$6))</f>
        <v>2611872685</v>
      </c>
    </row>
    <row r="53" customFormat="false" ht="15" hidden="false" customHeight="false" outlineLevel="0" collapsed="false">
      <c r="A53" s="10" t="n">
        <v>41</v>
      </c>
      <c r="B53" s="13" t="n">
        <v>3300000000</v>
      </c>
      <c r="C53" s="12" t="s">
        <v>72</v>
      </c>
      <c r="D53" s="12"/>
      <c r="E53" s="13" t="n">
        <v>1400000</v>
      </c>
      <c r="F53" s="13" t="n">
        <v>1400000</v>
      </c>
      <c r="G53" s="13" t="n">
        <v>2700000</v>
      </c>
      <c r="H53" s="14" t="s">
        <v>55</v>
      </c>
      <c r="I53" s="15" t="n">
        <f aca="false">IF(B53="","",MAX(0,B53-$B$6))</f>
        <v>2811872685</v>
      </c>
    </row>
    <row r="54" customFormat="false" ht="15" hidden="false" customHeight="false" outlineLevel="0" collapsed="false">
      <c r="A54" s="10" t="n">
        <v>42</v>
      </c>
      <c r="B54" s="13" t="n">
        <v>3500000000</v>
      </c>
      <c r="C54" s="12" t="s">
        <v>73</v>
      </c>
      <c r="D54" s="12"/>
      <c r="E54" s="13" t="n">
        <v>1400000</v>
      </c>
      <c r="F54" s="13" t="n">
        <v>1400000</v>
      </c>
      <c r="G54" s="13" t="n">
        <v>2700000</v>
      </c>
      <c r="H54" s="14" t="s">
        <v>55</v>
      </c>
      <c r="I54" s="15" t="n">
        <f aca="false">IF(B54="","",MAX(0,B54-$B$6))</f>
        <v>3011872685</v>
      </c>
    </row>
    <row r="56" customFormat="false" ht="15" hidden="false" customHeight="false" outlineLevel="0" collapsed="false">
      <c r="A56" s="2" t="s">
        <v>74</v>
      </c>
    </row>
  </sheetData>
  <conditionalFormatting sqref="H13:H54">
    <cfRule type="cellIs" priority="2" operator="equal" aboveAverage="0" equalAverage="0" bottom="0" percent="0" rank="0" text="" dxfId="0">
      <formula>"Claimed"</formula>
    </cfRule>
    <cfRule type="expression" priority="3" aboveAverage="0" equalAverage="0" bottom="0" percent="0" rank="0" text="" dxfId="1">
      <formula>AND($B13&lt;&gt;"",$B13&lt;=$B$6,$H13&lt;&gt;"Claimed")</formula>
    </cfRule>
  </conditionalFormatting>
  <dataValidations count="1">
    <dataValidation allowBlank="false" errorStyle="stop" operator="between" showDropDown="false" showErrorMessage="false" showInputMessage="false" sqref="H13:H54" type="list">
      <formula1>"Claimed,Not claimed"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8" min="7" style="0" width="16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26.85" hidden="false" customHeight="false" outlineLevel="0" collapsed="false">
      <c r="A4" s="9" t="s">
        <v>77</v>
      </c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84</v>
      </c>
      <c r="I4" s="9" t="s">
        <v>85</v>
      </c>
    </row>
    <row r="5" customFormat="false" ht="15" hidden="false" customHeight="false" outlineLevel="0" collapsed="false">
      <c r="A5" s="12" t="s">
        <v>86</v>
      </c>
      <c r="B5" s="12" t="s">
        <v>87</v>
      </c>
      <c r="C5" s="13" t="n">
        <v>3000000</v>
      </c>
      <c r="D5" s="11" t="n">
        <v>51000000</v>
      </c>
      <c r="E5" s="11" t="n">
        <v>39000000</v>
      </c>
      <c r="F5" s="15" t="n">
        <f aca="false">IF(ISNUMBER(D5),MAX(0,D5-N(E5)),"")</f>
        <v>12000000</v>
      </c>
      <c r="G5" s="11"/>
      <c r="H5" s="15" t="n">
        <f aca="false">IF(ISNUMBER(D5),MIN(N(G5)*N(C5),N(F5)),N(G5)*N(C5))</f>
        <v>0</v>
      </c>
      <c r="I5" s="16" t="s">
        <v>88</v>
      </c>
    </row>
    <row r="6" customFormat="false" ht="15" hidden="false" customHeight="false" outlineLevel="0" collapsed="false">
      <c r="A6" s="12" t="s">
        <v>89</v>
      </c>
      <c r="B6" s="12" t="s">
        <v>90</v>
      </c>
      <c r="C6" s="13" t="n">
        <v>1</v>
      </c>
      <c r="D6" s="11" t="n">
        <v>500000000</v>
      </c>
      <c r="E6" s="11" t="n">
        <v>158825315</v>
      </c>
      <c r="F6" s="15" t="n">
        <f aca="false">IF(ISNUMBER(D6),MAX(0,D6-N(E6)),"")</f>
        <v>341174685</v>
      </c>
      <c r="G6" s="11" t="n">
        <v>7540000</v>
      </c>
      <c r="H6" s="15" t="n">
        <f aca="false">IF(ISNUMBER(D6),MIN(N(G6)*N(C6),N(F6)),N(G6)*N(C6))</f>
        <v>7540000</v>
      </c>
      <c r="I6" s="16" t="s">
        <v>91</v>
      </c>
    </row>
    <row r="7" customFormat="false" ht="15" hidden="false" customHeight="false" outlineLevel="0" collapsed="false">
      <c r="A7" s="12" t="s">
        <v>89</v>
      </c>
      <c r="B7" s="12" t="s">
        <v>92</v>
      </c>
      <c r="C7" s="13" t="n">
        <v>1000</v>
      </c>
      <c r="D7" s="11" t="n">
        <v>250000000</v>
      </c>
      <c r="E7" s="11" t="n">
        <v>10300000</v>
      </c>
      <c r="F7" s="15" t="n">
        <f aca="false">IF(ISNUMBER(D7),MAX(0,D7-N(E7)),"")</f>
        <v>239700000</v>
      </c>
      <c r="G7" s="11"/>
      <c r="H7" s="15" t="n">
        <f aca="false">IF(ISNUMBER(D7),MIN(N(G7)*N(C7),N(F7)),N(G7)*N(C7))</f>
        <v>0</v>
      </c>
      <c r="I7" s="16" t="s">
        <v>93</v>
      </c>
    </row>
    <row r="8" customFormat="false" ht="15" hidden="false" customHeight="false" outlineLevel="0" collapsed="false">
      <c r="A8" s="12" t="s">
        <v>89</v>
      </c>
      <c r="B8" s="12" t="s">
        <v>94</v>
      </c>
      <c r="C8" s="13" t="n">
        <v>5000</v>
      </c>
      <c r="D8" s="11" t="n">
        <v>500000000</v>
      </c>
      <c r="E8" s="11" t="n">
        <v>58180000</v>
      </c>
      <c r="F8" s="15" t="n">
        <f aca="false">IF(ISNUMBER(D8),MAX(0,D8-N(E8)),"")</f>
        <v>441820000</v>
      </c>
      <c r="G8" s="11"/>
      <c r="H8" s="15" t="n">
        <f aca="false">IF(ISNUMBER(D8),MIN(N(G8)*N(C8),N(F8)),N(G8)*N(C8))</f>
        <v>0</v>
      </c>
      <c r="I8" s="16"/>
    </row>
    <row r="9" customFormat="false" ht="15" hidden="false" customHeight="false" outlineLevel="0" collapsed="false">
      <c r="A9" s="12" t="s">
        <v>95</v>
      </c>
      <c r="B9" s="12" t="s">
        <v>96</v>
      </c>
      <c r="C9" s="13" t="n">
        <v>1</v>
      </c>
      <c r="D9" s="11" t="n">
        <v>88000000</v>
      </c>
      <c r="E9" s="11" t="n">
        <v>11025000</v>
      </c>
      <c r="F9" s="15" t="n">
        <f aca="false">IF(ISNUMBER(D9),MAX(0,D9-N(E9)),"")</f>
        <v>76975000</v>
      </c>
      <c r="G9" s="11"/>
      <c r="H9" s="15" t="n">
        <f aca="false">IF(ISNUMBER(D9),MIN(N(G9)*N(C9),N(F9)),N(G9)*N(C9))</f>
        <v>0</v>
      </c>
      <c r="I9" s="16"/>
    </row>
    <row r="10" customFormat="false" ht="15" hidden="false" customHeight="false" outlineLevel="0" collapsed="false">
      <c r="A10" s="12" t="s">
        <v>95</v>
      </c>
      <c r="B10" s="12" t="s">
        <v>97</v>
      </c>
      <c r="C10" s="13" t="n">
        <v>1</v>
      </c>
      <c r="D10" s="11" t="n">
        <v>50000000</v>
      </c>
      <c r="E10" s="11" t="n">
        <v>7400000</v>
      </c>
      <c r="F10" s="15" t="n">
        <f aca="false">IF(ISNUMBER(D10),MAX(0,D10-N(E10)),"")</f>
        <v>42600000</v>
      </c>
      <c r="G10" s="11"/>
      <c r="H10" s="15" t="n">
        <f aca="false">IF(ISNUMBER(D10),MIN(N(G10)*N(C10),N(F10)),N(G10)*N(C10))</f>
        <v>0</v>
      </c>
      <c r="I10" s="16"/>
    </row>
    <row r="11" customFormat="false" ht="15" hidden="false" customHeight="false" outlineLevel="0" collapsed="false">
      <c r="A11" s="12" t="s">
        <v>95</v>
      </c>
      <c r="B11" s="12" t="s">
        <v>98</v>
      </c>
      <c r="C11" s="13" t="n">
        <v>1</v>
      </c>
      <c r="D11" s="11" t="n">
        <v>50000000</v>
      </c>
      <c r="E11" s="11" t="n">
        <v>7401500</v>
      </c>
      <c r="F11" s="15" t="n">
        <f aca="false">IF(ISNUMBER(D11),MAX(0,D11-N(E11)),"")</f>
        <v>42598500</v>
      </c>
      <c r="G11" s="11"/>
      <c r="H11" s="15" t="n">
        <f aca="false">IF(ISNUMBER(D11),MIN(N(G11)*N(C11),N(F11)),N(G11)*N(C11))</f>
        <v>0</v>
      </c>
      <c r="I11" s="16"/>
    </row>
    <row r="12" customFormat="false" ht="15" hidden="false" customHeight="false" outlineLevel="0" collapsed="false">
      <c r="A12" s="12" t="s">
        <v>95</v>
      </c>
      <c r="B12" s="12" t="s">
        <v>99</v>
      </c>
      <c r="C12" s="13" t="n">
        <v>1</v>
      </c>
      <c r="D12" s="11"/>
      <c r="E12" s="11"/>
      <c r="F12" s="15" t="str">
        <f aca="false">IF(ISNUMBER(D12),MAX(0,D12-N(E12)),"")</f>
        <v/>
      </c>
      <c r="G12" s="11"/>
      <c r="H12" s="15" t="n">
        <f aca="false">IF(ISNUMBER(D12),MIN(N(G12)*N(C12),N(F12)),N(G12)*N(C12))</f>
        <v>0</v>
      </c>
      <c r="I12" s="16" t="s">
        <v>100</v>
      </c>
    </row>
    <row r="13" customFormat="false" ht="15" hidden="false" customHeight="false" outlineLevel="0" collapsed="false">
      <c r="A13" s="12" t="s">
        <v>95</v>
      </c>
      <c r="B13" s="12" t="s">
        <v>101</v>
      </c>
      <c r="C13" s="13" t="n">
        <v>1</v>
      </c>
      <c r="D13" s="11"/>
      <c r="E13" s="11"/>
      <c r="F13" s="15" t="str">
        <f aca="false">IF(ISNUMBER(D13),MAX(0,D13-N(E13)),"")</f>
        <v/>
      </c>
      <c r="G13" s="11"/>
      <c r="H13" s="15" t="n">
        <f aca="false">IF(ISNUMBER(D13),MIN(N(G13)*N(C13),N(F13)),N(G13)*N(C13))</f>
        <v>0</v>
      </c>
      <c r="I13" s="16" t="s">
        <v>100</v>
      </c>
    </row>
    <row r="14" customFormat="false" ht="15" hidden="false" customHeight="false" outlineLevel="0" collapsed="false">
      <c r="A14" s="12" t="s">
        <v>95</v>
      </c>
      <c r="B14" s="12" t="s">
        <v>102</v>
      </c>
      <c r="C14" s="13" t="n">
        <v>1</v>
      </c>
      <c r="D14" s="11"/>
      <c r="E14" s="11"/>
      <c r="F14" s="15" t="str">
        <f aca="false">IF(ISNUMBER(D14),MAX(0,D14-N(E14)),"")</f>
        <v/>
      </c>
      <c r="G14" s="11"/>
      <c r="H14" s="15" t="n">
        <f aca="false">IF(ISNUMBER(D14),MIN(N(G14)*N(C14),N(F14)),N(G14)*N(C14))</f>
        <v>0</v>
      </c>
      <c r="I14" s="16" t="s">
        <v>100</v>
      </c>
    </row>
    <row r="15" customFormat="false" ht="15" hidden="false" customHeight="false" outlineLevel="0" collapsed="false">
      <c r="A15" s="12" t="s">
        <v>95</v>
      </c>
      <c r="B15" s="12" t="s">
        <v>103</v>
      </c>
      <c r="C15" s="13" t="n">
        <v>1</v>
      </c>
      <c r="D15" s="11"/>
      <c r="E15" s="11"/>
      <c r="F15" s="15" t="str">
        <f aca="false">IF(ISNUMBER(D15),MAX(0,D15-N(E15)),"")</f>
        <v/>
      </c>
      <c r="G15" s="11"/>
      <c r="H15" s="15" t="n">
        <f aca="false">IF(ISNUMBER(D15),MIN(N(G15)*N(C15),N(F15)),N(G15)*N(C15))</f>
        <v>0</v>
      </c>
      <c r="I15" s="16" t="s">
        <v>100</v>
      </c>
    </row>
    <row r="16" customFormat="false" ht="15" hidden="false" customHeight="false" outlineLevel="0" collapsed="false">
      <c r="A16" s="12" t="s">
        <v>104</v>
      </c>
      <c r="B16" s="12" t="s">
        <v>105</v>
      </c>
      <c r="C16" s="13" t="n">
        <v>2000000</v>
      </c>
      <c r="D16" s="11" t="n">
        <v>6000000</v>
      </c>
      <c r="E16" s="11" t="n">
        <v>6000000</v>
      </c>
      <c r="F16" s="15" t="n">
        <f aca="false">IF(ISNUMBER(D16),MAX(0,D16-N(E16)),"")</f>
        <v>0</v>
      </c>
      <c r="G16" s="11"/>
      <c r="H16" s="15" t="n">
        <f aca="false">IF(ISNUMBER(D16),MIN(N(G16)*N(C16),N(F16)),N(G16)*N(C16))</f>
        <v>0</v>
      </c>
      <c r="I16" s="16" t="s">
        <v>106</v>
      </c>
    </row>
    <row r="17" customFormat="false" ht="15" hidden="false" customHeight="false" outlineLevel="0" collapsed="false">
      <c r="A17" s="12" t="s">
        <v>104</v>
      </c>
      <c r="B17" s="12" t="s">
        <v>107</v>
      </c>
      <c r="C17" s="13" t="n">
        <v>3000000</v>
      </c>
      <c r="D17" s="11" t="n">
        <v>9000000</v>
      </c>
      <c r="E17" s="11" t="n">
        <v>6000000</v>
      </c>
      <c r="F17" s="15" t="n">
        <f aca="false">IF(ISNUMBER(D17),MAX(0,D17-N(E17)),"")</f>
        <v>3000000</v>
      </c>
      <c r="G17" s="11"/>
      <c r="H17" s="15" t="n">
        <f aca="false">IF(ISNUMBER(D17),MIN(N(G17)*N(C17),N(F17)),N(G17)*N(C17))</f>
        <v>0</v>
      </c>
      <c r="I17" s="16" t="s">
        <v>106</v>
      </c>
    </row>
    <row r="18" customFormat="false" ht="15" hidden="false" customHeight="false" outlineLevel="0" collapsed="false">
      <c r="A18" s="12" t="s">
        <v>104</v>
      </c>
      <c r="B18" s="12" t="s">
        <v>108</v>
      </c>
      <c r="C18" s="13" t="n">
        <v>2000000</v>
      </c>
      <c r="D18" s="11" t="n">
        <v>10000000</v>
      </c>
      <c r="E18" s="11" t="n">
        <v>10000000</v>
      </c>
      <c r="F18" s="15" t="n">
        <f aca="false">IF(ISNUMBER(D18),MAX(0,D18-N(E18)),"")</f>
        <v>0</v>
      </c>
      <c r="G18" s="11"/>
      <c r="H18" s="15" t="n">
        <f aca="false">IF(ISNUMBER(D18),MIN(N(G18)*N(C18),N(F18)),N(G18)*N(C18))</f>
        <v>0</v>
      </c>
      <c r="I18" s="16" t="s">
        <v>106</v>
      </c>
    </row>
    <row r="19" customFormat="false" ht="15" hidden="false" customHeight="false" outlineLevel="0" collapsed="false">
      <c r="A19" s="12" t="s">
        <v>104</v>
      </c>
      <c r="B19" s="12" t="s">
        <v>109</v>
      </c>
      <c r="C19" s="13" t="n">
        <v>3000000</v>
      </c>
      <c r="D19" s="11" t="n">
        <v>15000000</v>
      </c>
      <c r="E19" s="11" t="n">
        <v>0</v>
      </c>
      <c r="F19" s="15" t="n">
        <f aca="false">IF(ISNUMBER(D19),MAX(0,D19-N(E19)),"")</f>
        <v>15000000</v>
      </c>
      <c r="G19" s="11"/>
      <c r="H19" s="15" t="n">
        <f aca="false">IF(ISNUMBER(D19),MIN(N(G19)*N(C19),N(F19)),N(G19)*N(C19))</f>
        <v>0</v>
      </c>
      <c r="I19" s="16" t="s">
        <v>106</v>
      </c>
    </row>
    <row r="20" customFormat="false" ht="15" hidden="false" customHeight="false" outlineLevel="0" collapsed="false">
      <c r="A20" s="12" t="s">
        <v>104</v>
      </c>
      <c r="B20" s="12" t="s">
        <v>110</v>
      </c>
      <c r="C20" s="13" t="n">
        <v>2000000</v>
      </c>
      <c r="D20" s="11" t="n">
        <v>10000000</v>
      </c>
      <c r="E20" s="11" t="n">
        <v>10000000</v>
      </c>
      <c r="F20" s="15" t="n">
        <f aca="false">IF(ISNUMBER(D20),MAX(0,D20-N(E20)),"")</f>
        <v>0</v>
      </c>
      <c r="G20" s="11"/>
      <c r="H20" s="15" t="n">
        <f aca="false">IF(ISNUMBER(D20),MIN(N(G20)*N(C20),N(F20)),N(G20)*N(C20))</f>
        <v>0</v>
      </c>
      <c r="I20" s="16" t="s">
        <v>106</v>
      </c>
    </row>
    <row r="21" customFormat="false" ht="15" hidden="false" customHeight="false" outlineLevel="0" collapsed="false">
      <c r="A21" s="12" t="s">
        <v>104</v>
      </c>
      <c r="B21" s="12" t="s">
        <v>111</v>
      </c>
      <c r="C21" s="13" t="n">
        <v>3000000</v>
      </c>
      <c r="D21" s="11" t="n">
        <v>15000000</v>
      </c>
      <c r="E21" s="11" t="n">
        <v>15000000</v>
      </c>
      <c r="F21" s="15" t="n">
        <f aca="false">IF(ISNUMBER(D21),MAX(0,D21-N(E21)),"")</f>
        <v>0</v>
      </c>
      <c r="G21" s="11"/>
      <c r="H21" s="15" t="n">
        <f aca="false">IF(ISNUMBER(D21),MIN(N(G21)*N(C21),N(F21)),N(G21)*N(C21))</f>
        <v>0</v>
      </c>
      <c r="I21" s="16" t="s">
        <v>106</v>
      </c>
    </row>
    <row r="22" customFormat="false" ht="15" hidden="false" customHeight="false" outlineLevel="0" collapsed="false">
      <c r="A22" s="12" t="s">
        <v>104</v>
      </c>
      <c r="B22" s="12" t="s">
        <v>112</v>
      </c>
      <c r="C22" s="13" t="n">
        <v>5000000</v>
      </c>
      <c r="D22" s="11" t="n">
        <v>25000000</v>
      </c>
      <c r="E22" s="11" t="n">
        <v>20000000</v>
      </c>
      <c r="F22" s="15" t="n">
        <f aca="false">IF(ISNUMBER(D22),MAX(0,D22-N(E22)),"")</f>
        <v>5000000</v>
      </c>
      <c r="G22" s="11" t="n">
        <v>1</v>
      </c>
      <c r="H22" s="15" t="n">
        <f aca="false">IF(ISNUMBER(D22),MIN(N(G22)*N(C22),N(F22)),N(G22)*N(C22))</f>
        <v>5000000</v>
      </c>
      <c r="I22" s="16" t="s">
        <v>113</v>
      </c>
    </row>
    <row r="23" customFormat="false" ht="15" hidden="false" customHeight="false" outlineLevel="0" collapsed="false">
      <c r="A23" s="12" t="s">
        <v>104</v>
      </c>
      <c r="B23" s="12" t="s">
        <v>114</v>
      </c>
      <c r="C23" s="13" t="n">
        <v>5000000</v>
      </c>
      <c r="D23" s="11" t="n">
        <v>25000000</v>
      </c>
      <c r="E23" s="11" t="n">
        <v>15000000</v>
      </c>
      <c r="F23" s="15" t="n">
        <f aca="false">IF(ISNUMBER(D23),MAX(0,D23-N(E23)),"")</f>
        <v>10000000</v>
      </c>
      <c r="G23" s="11"/>
      <c r="H23" s="15" t="n">
        <f aca="false">IF(ISNUMBER(D23),MIN(N(G23)*N(C23),N(F23)),N(G23)*N(C23))</f>
        <v>0</v>
      </c>
      <c r="I23" s="16" t="s">
        <v>106</v>
      </c>
    </row>
    <row r="24" customFormat="false" ht="15" hidden="false" customHeight="false" outlineLevel="0" collapsed="false">
      <c r="A24" s="12" t="s">
        <v>104</v>
      </c>
      <c r="B24" s="12" t="s">
        <v>115</v>
      </c>
      <c r="C24" s="13" t="n">
        <v>5000000</v>
      </c>
      <c r="D24" s="11" t="n">
        <v>25000000</v>
      </c>
      <c r="E24" s="11" t="n">
        <v>25000000</v>
      </c>
      <c r="F24" s="15" t="n">
        <f aca="false">IF(ISNUMBER(D24),MAX(0,D24-N(E24)),"")</f>
        <v>0</v>
      </c>
      <c r="G24" s="11"/>
      <c r="H24" s="15" t="n">
        <f aca="false">IF(ISNUMBER(D24),MIN(N(G24)*N(C24),N(F24)),N(G24)*N(C24))</f>
        <v>0</v>
      </c>
      <c r="I24" s="16" t="s">
        <v>106</v>
      </c>
    </row>
    <row r="25" customFormat="false" ht="15" hidden="false" customHeight="false" outlineLevel="0" collapsed="false">
      <c r="A25" s="12" t="s">
        <v>104</v>
      </c>
      <c r="B25" s="12" t="s">
        <v>116</v>
      </c>
      <c r="C25" s="13" t="n">
        <v>8000000</v>
      </c>
      <c r="D25" s="11" t="n">
        <v>40000000</v>
      </c>
      <c r="E25" s="11" t="n">
        <v>0</v>
      </c>
      <c r="F25" s="15" t="n">
        <f aca="false">IF(ISNUMBER(D25),MAX(0,D25-N(E25)),"")</f>
        <v>40000000</v>
      </c>
      <c r="G25" s="11"/>
      <c r="H25" s="15" t="n">
        <f aca="false">IF(ISNUMBER(D25),MIN(N(G25)*N(C25),N(F25)),N(G25)*N(C25))</f>
        <v>0</v>
      </c>
      <c r="I25" s="16" t="s">
        <v>106</v>
      </c>
    </row>
    <row r="26" customFormat="false" ht="15" hidden="false" customHeight="false" outlineLevel="0" collapsed="false">
      <c r="A26" s="12" t="s">
        <v>104</v>
      </c>
      <c r="B26" s="12" t="s">
        <v>117</v>
      </c>
      <c r="C26" s="13" t="n">
        <v>8000000</v>
      </c>
      <c r="D26" s="11" t="n">
        <v>40000000</v>
      </c>
      <c r="E26" s="11" t="n">
        <v>0</v>
      </c>
      <c r="F26" s="15" t="n">
        <f aca="false">IF(ISNUMBER(D26),MAX(0,D26-N(E26)),"")</f>
        <v>40000000</v>
      </c>
      <c r="G26" s="11"/>
      <c r="H26" s="15" t="n">
        <f aca="false">IF(ISNUMBER(D26),MIN(N(G26)*N(C26),N(F26)),N(G26)*N(C26))</f>
        <v>0</v>
      </c>
      <c r="I26" s="16" t="s">
        <v>106</v>
      </c>
    </row>
    <row r="27" customFormat="false" ht="15" hidden="false" customHeight="false" outlineLevel="0" collapsed="false">
      <c r="A27" s="12" t="s">
        <v>104</v>
      </c>
      <c r="B27" s="12" t="s">
        <v>118</v>
      </c>
      <c r="C27" s="13" t="n">
        <v>8000000</v>
      </c>
      <c r="D27" s="11" t="n">
        <v>40000000</v>
      </c>
      <c r="E27" s="11" t="n">
        <v>0</v>
      </c>
      <c r="F27" s="15" t="n">
        <f aca="false">IF(ISNUMBER(D27),MAX(0,D27-N(E27)),"")</f>
        <v>40000000</v>
      </c>
      <c r="G27" s="11"/>
      <c r="H27" s="15" t="n">
        <f aca="false">IF(ISNUMBER(D27),MIN(N(G27)*N(C27),N(F27)),N(G27)*N(C27))</f>
        <v>0</v>
      </c>
      <c r="I27" s="16" t="s">
        <v>106</v>
      </c>
    </row>
    <row r="28" customFormat="false" ht="15" hidden="false" customHeight="false" outlineLevel="0" collapsed="false">
      <c r="A28" s="12" t="s">
        <v>119</v>
      </c>
      <c r="B28" s="12" t="s">
        <v>120</v>
      </c>
      <c r="C28" s="13" t="n">
        <v>1</v>
      </c>
      <c r="D28" s="11"/>
      <c r="E28" s="11"/>
      <c r="F28" s="15" t="str">
        <f aca="false">IF(ISNUMBER(D28),MAX(0,D28-N(E28)),"")</f>
        <v/>
      </c>
      <c r="G28" s="11"/>
      <c r="H28" s="15" t="n">
        <f aca="false">IF(ISNUMBER(D28),MIN(N(G28)*N(C28),N(F28)),N(G28)*N(C28))</f>
        <v>0</v>
      </c>
      <c r="I28" s="16" t="s">
        <v>121</v>
      </c>
    </row>
    <row r="29" customFormat="false" ht="15" hidden="false" customHeight="false" outlineLevel="0" collapsed="false">
      <c r="A29" s="12"/>
      <c r="B29" s="12"/>
      <c r="C29" s="11"/>
      <c r="D29" s="11"/>
      <c r="E29" s="11"/>
      <c r="F29" s="15" t="str">
        <f aca="false">IF(ISNUMBER(D29),MAX(0,D29-N(E29)),"")</f>
        <v/>
      </c>
      <c r="G29" s="11"/>
      <c r="H29" s="15" t="n">
        <f aca="false">IF(ISNUMBER(D29),MIN(N(G29)*N(C29),N(F29)),N(G29)*N(C29))</f>
        <v>0</v>
      </c>
      <c r="I29" s="16" t="s">
        <v>122</v>
      </c>
    </row>
    <row r="30" customFormat="false" ht="15" hidden="false" customHeight="false" outlineLevel="0" collapsed="false">
      <c r="A30" s="12"/>
      <c r="B30" s="12"/>
      <c r="C30" s="11"/>
      <c r="D30" s="11"/>
      <c r="E30" s="11"/>
      <c r="F30" s="15" t="str">
        <f aca="false">IF(ISNUMBER(D30),MAX(0,D30-N(E30)),"")</f>
        <v/>
      </c>
      <c r="G30" s="11"/>
      <c r="H30" s="15" t="n">
        <f aca="false">IF(ISNUMBER(D30),MIN(N(G30)*N(C30),N(F30)),N(G30)*N(C30))</f>
        <v>0</v>
      </c>
      <c r="I30" s="16" t="s">
        <v>122</v>
      </c>
    </row>
    <row r="32" customFormat="false" ht="15" hidden="false" customHeight="false" outlineLevel="0" collapsed="false">
      <c r="A32" s="3" t="s">
        <v>123</v>
      </c>
      <c r="B32" s="7" t="n">
        <f aca="false">SUM(E5:E30)</f>
        <v>399131815</v>
      </c>
    </row>
    <row r="33" customFormat="false" ht="15" hidden="false" customHeight="false" outlineLevel="0" collapsed="false">
      <c r="A33" s="3" t="s">
        <v>124</v>
      </c>
      <c r="B33" s="7" t="n">
        <f aca="false">'Iso Fest'!B6-B32</f>
        <v>88995500</v>
      </c>
    </row>
    <row r="34" customFormat="false" ht="15" hidden="false" customHeight="false" outlineLevel="0" collapsed="false">
      <c r="A34" s="3" t="s">
        <v>9</v>
      </c>
      <c r="B34" s="7" t="n">
        <f aca="false">'Iso Fest'!B6</f>
        <v>488127315</v>
      </c>
    </row>
    <row r="35" customFormat="false" ht="15" hidden="false" customHeight="false" outlineLevel="0" collapsed="false">
      <c r="A35" s="3" t="s">
        <v>125</v>
      </c>
      <c r="B35" s="7" t="n">
        <f aca="false">SUM(H5:H30)</f>
        <v>12540000</v>
      </c>
    </row>
    <row r="36" customFormat="false" ht="15" hidden="false" customHeight="false" outlineLevel="0" collapsed="false">
      <c r="A36" s="3" t="s">
        <v>126</v>
      </c>
      <c r="B36" s="7" t="n">
        <f aca="false">B34+B35</f>
        <v>500667315</v>
      </c>
    </row>
    <row r="37" customFormat="false" ht="15" hidden="false" customHeight="false" outlineLevel="0" collapsed="false">
      <c r="A37" s="3" t="s">
        <v>127</v>
      </c>
      <c r="B37" s="7" t="n">
        <f aca="false">IFERROR(INDEX('Iso Fest'!A13:A54,MATCH(B36,'Iso Fest'!B13:B54,1)),"Below milestone 15")</f>
        <v>23</v>
      </c>
    </row>
    <row r="38" customFormat="false" ht="15" hidden="false" customHeight="false" outlineLevel="0" collapsed="false">
      <c r="A38" s="3" t="s">
        <v>128</v>
      </c>
      <c r="B38" s="7" t="n">
        <f aca="false">MAX(0,INDEX('Iso Fest'!B13:B54,'Iso Fest'!B9)-B36)</f>
        <v>99332685</v>
      </c>
    </row>
    <row r="40" customFormat="false" ht="15" hidden="false" customHeight="false" outlineLevel="0" collapsed="false">
      <c r="A40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2026-10-14T15:43:48Z</dcterms:created>
  <dc:creator>openpyxl</dc:creator>
  <dc:description/>
  <dc:language>en-US</dc:language>
  <cp:lastModifiedBy/>
  <dcterms:modified xsi:type="dcterms:W3CDTF">2026-10-14T15:43:48Z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