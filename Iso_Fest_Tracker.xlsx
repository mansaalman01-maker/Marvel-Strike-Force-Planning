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<sst xmlns="http://schemas.openxmlformats.org/spreadsheetml/2006/main" count="221" uniqueCount="130">
  <si>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</si>
  <si>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</si>
  <si>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</si>
  <si>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</si>
  <si>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</si>
  <si>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</si>
  <si>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</si>
  <si>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</si>
  <si>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</si>
  <si>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</si>
  <si>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</si>
  <si>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</si>
  <si>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</si>
  <si>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</si>
  <si>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</si>
  <si>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</si>
  <si>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</si>
  <si>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</si>
  <si>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</si>
  <si>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</si>
  <si>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</si>
  <si>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</si>
  <si>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</si>
  <si>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</si>
  <si>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</si>
  <si>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</si>
  <si>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</si>
  <si>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</si>
  <si>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</si>
  <si>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</si>
  <si>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</si>
  <si>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</si>
  <si>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</si>
  <si>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</si>
  <si>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</si>
  <si>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</si>
  <si>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</si>
  <si>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</si>
  <si>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</si>
  <si>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</si>
  <si>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</si>
  <si>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</si>
  <si>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</si>
  <si>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</si>
  <si>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</si>
  <si>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</si>
  <si>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</si>
  <si>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</si>
  <si>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</si>
  <si>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</si>
  <si>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</si>
  <si>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</si>
  <si>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</si>
  <si>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</si>
  <si>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</si>
  <si>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</si>
  <si>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</si>
  <si>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</si>
  <si>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</si>
  <si>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</si>
  <si>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</si>
  <si>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</si>
  <si>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</si>
  <si>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</si>
  <si>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</si>
  <si>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</si>
  <si>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</si>
  <si>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</si>
  <si>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</si>
  <si>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</si>
  <si>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</si>
  <si>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</si>
  <si>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</si>
  <si>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</si>
  <si>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</si>
  <si>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</si>
  <si>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</si>
  <si>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</si>
  <si>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</si>
  <si>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</si>
  <si>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</si>
  <si>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</si>
  <si>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</si>
  <si>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</si>
  <si>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</si>
  <si>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</si>
  <si>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Daily</t>
  </si>
  <si>
    <t xml:space="preserve">Log in</t>
  </si>
  <si>
    <t xml:space="preserve">Once a day</t>
  </si>
  <si>
    <t xml:space="preserve">Spend</t>
  </si>
  <si>
    <t xml:space="preserve">Spend Gold</t>
  </si>
  <si>
    <t xml:space="preserve">Planned is current gold plus the Thu and Sun Gold Rushes</t>
  </si>
  <si>
    <t xml:space="preserve">Spend Power Cores</t>
  </si>
  <si>
    <t xml:space="preserve">Includes cores spent before Iron Vengeance began</t>
  </si>
  <si>
    <t xml:space="preserve">Spend L4 Training Modules (orange)</t>
  </si>
  <si>
    <t xml:space="preserve">Ions</t>
  </si>
  <si>
    <t xml:space="preserve">Spend 1 Tier 2 Level 5 Ion</t>
  </si>
  <si>
    <t xml:space="preserve">Spend 1 Tier 2 Level 4 Ion</t>
  </si>
  <si>
    <t xml:space="preserve">Spend 1 Tier 2 Level 1 Ion</t>
  </si>
  <si>
    <t xml:space="preserve">Spend 1 Tier 3 Level 5 Ion</t>
  </si>
  <si>
    <t xml:space="preserve">Unlimited. Game doesn't show earned</t>
  </si>
  <si>
    <t xml:space="preserve">Spend 1 Tier 3 Level 4 Ion</t>
  </si>
  <si>
    <t xml:space="preserve">Spend 1 Tier 3 Level 1 Ion</t>
  </si>
  <si>
    <t xml:space="preserve">Spend 1 Tier 4 Level 1 Ion</t>
  </si>
  <si>
    <t xml:space="preserve">Upgrade</t>
  </si>
  <si>
    <t xml:space="preserve">Insidious Six to T3 L4</t>
  </si>
  <si>
    <t xml:space="preserve">Planned is number of upgrades</t>
  </si>
  <si>
    <t xml:space="preserve">Insidious Six to T3 L5</t>
  </si>
  <si>
    <t xml:space="preserve">Symbiote Six to T3 L4</t>
  </si>
  <si>
    <t xml:space="preserve">Symbiote Six to T3 L5</t>
  </si>
  <si>
    <t xml:space="preserve">Amazing Avenger to T3 L4</t>
  </si>
  <si>
    <t xml:space="preserve">Amazing Avenger to T3 L5</t>
  </si>
  <si>
    <t xml:space="preserve">Cosmic character to T3 L5</t>
  </si>
  <si>
    <t xml:space="preserve">Mephisto planned after milestone 24</t>
  </si>
  <si>
    <t xml:space="preserve">Global character to T3 L5</t>
  </si>
  <si>
    <t xml:space="preserve">City character to T3 L5</t>
  </si>
  <si>
    <t xml:space="preserve">Cosmic character to T4 L3</t>
  </si>
  <si>
    <t xml:space="preserve">Global character to T4 L3</t>
  </si>
  <si>
    <t xml:space="preserve">City character to T4 L3</t>
  </si>
  <si>
    <t xml:space="preserve">Offers</t>
  </si>
  <si>
    <t xml:space="preserve">Earn Iso Fest milestone points in select offers</t>
  </si>
  <si>
    <t xml:space="preserve">Unlimited</t>
  </si>
  <si>
    <t xml:space="preserve">Spare row</t>
  </si>
  <si>
    <t xml:space="preserve">Earned from tasks with a limit</t>
  </si>
  <si>
    <t xml:space="preserve">Unlimited tasks, ions and offers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</si>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</sst>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490019315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9980685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Scoring!B36</f>
        <v>502849315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109980685</v>
      </c>
      <c r="D10" s="3" t="s">
        <v>17</v>
      </c>
      <c r="G10" s="7" t="n">
        <f aca="false">Scoring!B37</f>
        <v>23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28202280.8354329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9980685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34980685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59980685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109980685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159980685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259980685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409980685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609980685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809980685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1009980685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1209980685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1409980685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1609980685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1809980685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2009980685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2209980685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2409980685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2609980685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2809980685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3009980685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3000000</v>
      </c>
      <c r="D5" s="11" t="n">
        <v>51000000</v>
      </c>
      <c r="E5" s="11" t="n">
        <v>39000000</v>
      </c>
      <c r="F5" s="15" t="n">
        <f aca="false">IF(ISNUMBER(D5),MAX(0,D5-N(E5)),"")</f>
        <v>12000000</v>
      </c>
      <c r="G5" s="11"/>
      <c r="H5" s="15" t="n">
        <f aca="false">IF(ISNUMBER(D5),MIN(N(G5)*N(C5),N(F5)),N(G5)*N(C5))</f>
        <v>0</v>
      </c>
      <c r="I5" s="16" t="s">
        <v>88</v>
      </c>
    </row>
    <row r="6" customFormat="false" ht="15" hidden="false" customHeight="false" outlineLevel="0" collapsed="false">
      <c r="A6" s="12" t="s">
        <v>89</v>
      </c>
      <c r="B6" s="12" t="s">
        <v>90</v>
      </c>
      <c r="C6" s="13" t="n">
        <v>1</v>
      </c>
      <c r="D6" s="11" t="n">
        <v>500000000</v>
      </c>
      <c r="E6" s="11" t="n">
        <v>159025315</v>
      </c>
      <c r="F6" s="15" t="n">
        <f aca="false">IF(ISNUMBER(D6),MAX(0,D6-N(E6)),"")</f>
        <v>340974685</v>
      </c>
      <c r="G6" s="11" t="n">
        <v>7830000</v>
      </c>
      <c r="H6" s="15" t="n">
        <f aca="false">IF(ISNUMBER(D6),MIN(N(G6)*N(C6),N(F6)),N(G6)*N(C6))</f>
        <v>7830000</v>
      </c>
      <c r="I6" s="16" t="s">
        <v>91</v>
      </c>
    </row>
    <row r="7" customFormat="false" ht="15" hidden="false" customHeight="false" outlineLevel="0" collapsed="false">
      <c r="A7" s="12" t="s">
        <v>89</v>
      </c>
      <c r="B7" s="12" t="s">
        <v>92</v>
      </c>
      <c r="C7" s="13" t="n">
        <v>1000</v>
      </c>
      <c r="D7" s="11" t="n">
        <v>250000000</v>
      </c>
      <c r="E7" s="11" t="n">
        <v>10300000</v>
      </c>
      <c r="F7" s="15" t="n">
        <f aca="false">IF(ISNUMBER(D7),MAX(0,D7-N(E7)),"")</f>
        <v>239700000</v>
      </c>
      <c r="G7" s="11"/>
      <c r="H7" s="15" t="n">
        <f aca="false">IF(ISNUMBER(D7),MIN(N(G7)*N(C7),N(F7)),N(G7)*N(C7))</f>
        <v>0</v>
      </c>
      <c r="I7" s="16" t="s">
        <v>93</v>
      </c>
    </row>
    <row r="8" customFormat="false" ht="15" hidden="false" customHeight="false" outlineLevel="0" collapsed="false">
      <c r="A8" s="12" t="s">
        <v>89</v>
      </c>
      <c r="B8" s="12" t="s">
        <v>94</v>
      </c>
      <c r="C8" s="13" t="n">
        <v>5000</v>
      </c>
      <c r="D8" s="11" t="n">
        <v>500000000</v>
      </c>
      <c r="E8" s="11" t="n">
        <v>58675000</v>
      </c>
      <c r="F8" s="15" t="n">
        <f aca="false">IF(ISNUMBER(D8),MAX(0,D8-N(E8)),"")</f>
        <v>441325000</v>
      </c>
      <c r="G8" s="11"/>
      <c r="H8" s="15" t="n">
        <f aca="false">IF(ISNUMBER(D8),MIN(N(G8)*N(C8),N(F8)),N(G8)*N(C8))</f>
        <v>0</v>
      </c>
      <c r="I8" s="16"/>
    </row>
    <row r="9" customFormat="false" ht="15" hidden="false" customHeight="false" outlineLevel="0" collapsed="false">
      <c r="A9" s="12" t="s">
        <v>95</v>
      </c>
      <c r="B9" s="12" t="s">
        <v>96</v>
      </c>
      <c r="C9" s="13" t="n">
        <v>1</v>
      </c>
      <c r="D9" s="11" t="n">
        <v>88000000</v>
      </c>
      <c r="E9" s="11" t="n">
        <v>11025000</v>
      </c>
      <c r="F9" s="15" t="n">
        <f aca="false">IF(ISNUMBER(D9),MAX(0,D9-N(E9)),"")</f>
        <v>76975000</v>
      </c>
      <c r="G9" s="11"/>
      <c r="H9" s="15" t="n">
        <f aca="false">IF(ISNUMBER(D9),MIN(N(G9)*N(C9),N(F9)),N(G9)*N(C9))</f>
        <v>0</v>
      </c>
      <c r="I9" s="16"/>
    </row>
    <row r="10" customFormat="false" ht="15" hidden="false" customHeight="false" outlineLevel="0" collapsed="false">
      <c r="A10" s="12" t="s">
        <v>95</v>
      </c>
      <c r="B10" s="12" t="s">
        <v>97</v>
      </c>
      <c r="C10" s="13" t="n">
        <v>1</v>
      </c>
      <c r="D10" s="11" t="n">
        <v>50000000</v>
      </c>
      <c r="E10" s="11" t="n">
        <v>7400000</v>
      </c>
      <c r="F10" s="15" t="n">
        <f aca="false">IF(ISNUMBER(D10),MAX(0,D10-N(E10)),"")</f>
        <v>42600000</v>
      </c>
      <c r="G10" s="11"/>
      <c r="H10" s="15" t="n">
        <f aca="false">IF(ISNUMBER(D10),MIN(N(G10)*N(C10),N(F10)),N(G10)*N(C10))</f>
        <v>0</v>
      </c>
      <c r="I10" s="16"/>
    </row>
    <row r="11" customFormat="false" ht="15" hidden="false" customHeight="false" outlineLevel="0" collapsed="false">
      <c r="A11" s="12" t="s">
        <v>95</v>
      </c>
      <c r="B11" s="12" t="s">
        <v>98</v>
      </c>
      <c r="C11" s="13" t="n">
        <v>1</v>
      </c>
      <c r="D11" s="11" t="n">
        <v>50000000</v>
      </c>
      <c r="E11" s="11" t="n">
        <v>7401500</v>
      </c>
      <c r="F11" s="15" t="n">
        <f aca="false">IF(ISNUMBER(D11),MAX(0,D11-N(E11)),"")</f>
        <v>42598500</v>
      </c>
      <c r="G11" s="11"/>
      <c r="H11" s="15" t="n">
        <f aca="false">IF(ISNUMBER(D11),MIN(N(G11)*N(C11),N(F11)),N(G11)*N(C11))</f>
        <v>0</v>
      </c>
      <c r="I11" s="16"/>
    </row>
    <row r="12" customFormat="false" ht="15" hidden="false" customHeight="false" outlineLevel="0" collapsed="false">
      <c r="A12" s="12" t="s">
        <v>95</v>
      </c>
      <c r="B12" s="12" t="s">
        <v>99</v>
      </c>
      <c r="C12" s="13" t="n">
        <v>1</v>
      </c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100</v>
      </c>
    </row>
    <row r="13" customFormat="false" ht="15" hidden="false" customHeight="false" outlineLevel="0" collapsed="false">
      <c r="A13" s="12" t="s">
        <v>95</v>
      </c>
      <c r="B13" s="12" t="s">
        <v>101</v>
      </c>
      <c r="C13" s="13" t="n">
        <v>1</v>
      </c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100</v>
      </c>
    </row>
    <row r="14" customFormat="false" ht="15" hidden="false" customHeight="false" outlineLevel="0" collapsed="false">
      <c r="A14" s="12" t="s">
        <v>95</v>
      </c>
      <c r="B14" s="12" t="s">
        <v>102</v>
      </c>
      <c r="C14" s="13" t="n">
        <v>1</v>
      </c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100</v>
      </c>
    </row>
    <row r="15" customFormat="false" ht="15" hidden="false" customHeight="false" outlineLevel="0" collapsed="false">
      <c r="A15" s="12" t="s">
        <v>95</v>
      </c>
      <c r="B15" s="12" t="s">
        <v>103</v>
      </c>
      <c r="C15" s="13" t="n">
        <v>1</v>
      </c>
      <c r="D15" s="11"/>
      <c r="E15" s="11"/>
      <c r="F15" s="15" t="str">
        <f aca="false">IF(ISNUMBER(D15),MAX(0,D15-N(E15)),"")</f>
        <v/>
      </c>
      <c r="G15" s="11"/>
      <c r="H15" s="15" t="n">
        <f aca="false">IF(ISNUMBER(D15),MIN(N(G15)*N(C15),N(F15)),N(G15)*N(C15))</f>
        <v>0</v>
      </c>
      <c r="I15" s="16" t="s">
        <v>100</v>
      </c>
    </row>
    <row r="16" customFormat="false" ht="15" hidden="false" customHeight="false" outlineLevel="0" collapsed="false">
      <c r="A16" s="12" t="s">
        <v>104</v>
      </c>
      <c r="B16" s="12" t="s">
        <v>105</v>
      </c>
      <c r="C16" s="13" t="n">
        <v>2000000</v>
      </c>
      <c r="D16" s="11" t="n">
        <v>6000000</v>
      </c>
      <c r="E16" s="11" t="n">
        <v>6000000</v>
      </c>
      <c r="F16" s="15" t="n">
        <f aca="false">IF(ISNUMBER(D16),MAX(0,D16-N(E16)),"")</f>
        <v>0</v>
      </c>
      <c r="G16" s="11"/>
      <c r="H16" s="15" t="n">
        <f aca="false">IF(ISNUMBER(D16),MIN(N(G16)*N(C16),N(F16)),N(G16)*N(C16))</f>
        <v>0</v>
      </c>
      <c r="I16" s="16" t="s">
        <v>106</v>
      </c>
    </row>
    <row r="17" customFormat="false" ht="15" hidden="false" customHeight="false" outlineLevel="0" collapsed="false">
      <c r="A17" s="12" t="s">
        <v>104</v>
      </c>
      <c r="B17" s="12" t="s">
        <v>107</v>
      </c>
      <c r="C17" s="13" t="n">
        <v>3000000</v>
      </c>
      <c r="D17" s="11" t="n">
        <v>9000000</v>
      </c>
      <c r="E17" s="11" t="n">
        <v>6000000</v>
      </c>
      <c r="F17" s="15" t="n">
        <f aca="false">IF(ISNUMBER(D17),MAX(0,D17-N(E17)),"")</f>
        <v>3000000</v>
      </c>
      <c r="G17" s="11"/>
      <c r="H17" s="15" t="n">
        <f aca="false">IF(ISNUMBER(D17),MIN(N(G17)*N(C17),N(F17)),N(G17)*N(C17))</f>
        <v>0</v>
      </c>
      <c r="I17" s="16" t="s">
        <v>106</v>
      </c>
    </row>
    <row r="18" customFormat="false" ht="15" hidden="false" customHeight="false" outlineLevel="0" collapsed="false">
      <c r="A18" s="12" t="s">
        <v>104</v>
      </c>
      <c r="B18" s="12" t="s">
        <v>108</v>
      </c>
      <c r="C18" s="13" t="n">
        <v>2000000</v>
      </c>
      <c r="D18" s="11" t="n">
        <v>10000000</v>
      </c>
      <c r="E18" s="11" t="n">
        <v>10000000</v>
      </c>
      <c r="F18" s="15" t="n">
        <f aca="false">IF(ISNUMBER(D18),MAX(0,D18-N(E18)),"")</f>
        <v>0</v>
      </c>
      <c r="G18" s="11"/>
      <c r="H18" s="15" t="n">
        <f aca="false">IF(ISNUMBER(D18),MIN(N(G18)*N(C18),N(F18)),N(G18)*N(C18))</f>
        <v>0</v>
      </c>
      <c r="I18" s="16" t="s">
        <v>106</v>
      </c>
    </row>
    <row r="19" customFormat="false" ht="15" hidden="false" customHeight="false" outlineLevel="0" collapsed="false">
      <c r="A19" s="12" t="s">
        <v>104</v>
      </c>
      <c r="B19" s="12" t="s">
        <v>109</v>
      </c>
      <c r="C19" s="13" t="n">
        <v>3000000</v>
      </c>
      <c r="D19" s="11" t="n">
        <v>15000000</v>
      </c>
      <c r="E19" s="11" t="n">
        <v>0</v>
      </c>
      <c r="F19" s="15" t="n">
        <f aca="false">IF(ISNUMBER(D19),MAX(0,D19-N(E19)),"")</f>
        <v>15000000</v>
      </c>
      <c r="G19" s="11"/>
      <c r="H19" s="15" t="n">
        <f aca="false">IF(ISNUMBER(D19),MIN(N(G19)*N(C19),N(F19)),N(G19)*N(C19))</f>
        <v>0</v>
      </c>
      <c r="I19" s="16" t="s">
        <v>106</v>
      </c>
    </row>
    <row r="20" customFormat="false" ht="15" hidden="false" customHeight="false" outlineLevel="0" collapsed="false">
      <c r="A20" s="12" t="s">
        <v>104</v>
      </c>
      <c r="B20" s="12" t="s">
        <v>110</v>
      </c>
      <c r="C20" s="13" t="n">
        <v>2000000</v>
      </c>
      <c r="D20" s="11" t="n">
        <v>10000000</v>
      </c>
      <c r="E20" s="11" t="n">
        <v>10000000</v>
      </c>
      <c r="F20" s="15" t="n">
        <f aca="false">IF(ISNUMBER(D20),MAX(0,D20-N(E20)),"")</f>
        <v>0</v>
      </c>
      <c r="G20" s="11"/>
      <c r="H20" s="15" t="n">
        <f aca="false">IF(ISNUMBER(D20),MIN(N(G20)*N(C20),N(F20)),N(G20)*N(C20))</f>
        <v>0</v>
      </c>
      <c r="I20" s="16" t="s">
        <v>106</v>
      </c>
    </row>
    <row r="21" customFormat="false" ht="15" hidden="false" customHeight="false" outlineLevel="0" collapsed="false">
      <c r="A21" s="12" t="s">
        <v>104</v>
      </c>
      <c r="B21" s="12" t="s">
        <v>111</v>
      </c>
      <c r="C21" s="13" t="n">
        <v>3000000</v>
      </c>
      <c r="D21" s="11" t="n">
        <v>15000000</v>
      </c>
      <c r="E21" s="11" t="n">
        <v>15000000</v>
      </c>
      <c r="F21" s="15" t="n">
        <f aca="false">IF(ISNUMBER(D21),MAX(0,D21-N(E21)),"")</f>
        <v>0</v>
      </c>
      <c r="G21" s="11"/>
      <c r="H21" s="15" t="n">
        <f aca="false">IF(ISNUMBER(D21),MIN(N(G21)*N(C21),N(F21)),N(G21)*N(C21))</f>
        <v>0</v>
      </c>
      <c r="I21" s="16" t="s">
        <v>106</v>
      </c>
    </row>
    <row r="22" customFormat="false" ht="15" hidden="false" customHeight="false" outlineLevel="0" collapsed="false">
      <c r="A22" s="12" t="s">
        <v>104</v>
      </c>
      <c r="B22" s="12" t="s">
        <v>112</v>
      </c>
      <c r="C22" s="13" t="n">
        <v>5000000</v>
      </c>
      <c r="D22" s="11" t="n">
        <v>25000000</v>
      </c>
      <c r="E22" s="11" t="n">
        <v>20000000</v>
      </c>
      <c r="F22" s="15" t="n">
        <f aca="false">IF(ISNUMBER(D22),MAX(0,D22-N(E22)),"")</f>
        <v>5000000</v>
      </c>
      <c r="G22" s="11" t="n">
        <v>1</v>
      </c>
      <c r="H22" s="15" t="n">
        <f aca="false">IF(ISNUMBER(D22),MIN(N(G22)*N(C22),N(F22)),N(G22)*N(C22))</f>
        <v>5000000</v>
      </c>
      <c r="I22" s="16" t="s">
        <v>113</v>
      </c>
    </row>
    <row r="23" customFormat="false" ht="15" hidden="false" customHeight="false" outlineLevel="0" collapsed="false">
      <c r="A23" s="12" t="s">
        <v>104</v>
      </c>
      <c r="B23" s="12" t="s">
        <v>114</v>
      </c>
      <c r="C23" s="13" t="n">
        <v>5000000</v>
      </c>
      <c r="D23" s="11" t="n">
        <v>25000000</v>
      </c>
      <c r="E23" s="11" t="n">
        <v>15000000</v>
      </c>
      <c r="F23" s="15" t="n">
        <f aca="false">IF(ISNUMBER(D23),MAX(0,D23-N(E23)),"")</f>
        <v>10000000</v>
      </c>
      <c r="G23" s="11"/>
      <c r="H23" s="15" t="n">
        <f aca="false">IF(ISNUMBER(D23),MIN(N(G23)*N(C23),N(F23)),N(G23)*N(C23))</f>
        <v>0</v>
      </c>
      <c r="I23" s="16" t="s">
        <v>106</v>
      </c>
    </row>
    <row r="24" customFormat="false" ht="15" hidden="false" customHeight="false" outlineLevel="0" collapsed="false">
      <c r="A24" s="12" t="s">
        <v>104</v>
      </c>
      <c r="B24" s="12" t="s">
        <v>115</v>
      </c>
      <c r="C24" s="13" t="n">
        <v>5000000</v>
      </c>
      <c r="D24" s="11" t="n">
        <v>25000000</v>
      </c>
      <c r="E24" s="11" t="n">
        <v>25000000</v>
      </c>
      <c r="F24" s="15" t="n">
        <f aca="false">IF(ISNUMBER(D24),MAX(0,D24-N(E24)),"")</f>
        <v>0</v>
      </c>
      <c r="G24" s="11"/>
      <c r="H24" s="15" t="n">
        <f aca="false">IF(ISNUMBER(D24),MIN(N(G24)*N(C24),N(F24)),N(G24)*N(C24))</f>
        <v>0</v>
      </c>
      <c r="I24" s="16" t="s">
        <v>106</v>
      </c>
    </row>
    <row r="25" customFormat="false" ht="15" hidden="false" customHeight="false" outlineLevel="0" collapsed="false">
      <c r="A25" s="12" t="s">
        <v>104</v>
      </c>
      <c r="B25" s="12" t="s">
        <v>116</v>
      </c>
      <c r="C25" s="13" t="n">
        <v>8000000</v>
      </c>
      <c r="D25" s="11" t="n">
        <v>40000000</v>
      </c>
      <c r="E25" s="11" t="n">
        <v>0</v>
      </c>
      <c r="F25" s="15" t="n">
        <f aca="false">IF(ISNUMBER(D25),MAX(0,D25-N(E25)),"")</f>
        <v>40000000</v>
      </c>
      <c r="G25" s="11"/>
      <c r="H25" s="15" t="n">
        <f aca="false">IF(ISNUMBER(D25),MIN(N(G25)*N(C25),N(F25)),N(G25)*N(C25))</f>
        <v>0</v>
      </c>
      <c r="I25" s="16" t="s">
        <v>106</v>
      </c>
    </row>
    <row r="26" customFormat="false" ht="15" hidden="false" customHeight="false" outlineLevel="0" collapsed="false">
      <c r="A26" s="12" t="s">
        <v>104</v>
      </c>
      <c r="B26" s="12" t="s">
        <v>117</v>
      </c>
      <c r="C26" s="13" t="n">
        <v>8000000</v>
      </c>
      <c r="D26" s="11" t="n">
        <v>40000000</v>
      </c>
      <c r="E26" s="11" t="n">
        <v>0</v>
      </c>
      <c r="F26" s="15" t="n">
        <f aca="false">IF(ISNUMBER(D26),MAX(0,D26-N(E26)),"")</f>
        <v>40000000</v>
      </c>
      <c r="G26" s="11"/>
      <c r="H26" s="15" t="n">
        <f aca="false">IF(ISNUMBER(D26),MIN(N(G26)*N(C26),N(F26)),N(G26)*N(C26))</f>
        <v>0</v>
      </c>
      <c r="I26" s="16" t="s">
        <v>106</v>
      </c>
    </row>
    <row r="27" customFormat="false" ht="15" hidden="false" customHeight="false" outlineLevel="0" collapsed="false">
      <c r="A27" s="12" t="s">
        <v>104</v>
      </c>
      <c r="B27" s="12" t="s">
        <v>118</v>
      </c>
      <c r="C27" s="13" t="n">
        <v>8000000</v>
      </c>
      <c r="D27" s="11" t="n">
        <v>40000000</v>
      </c>
      <c r="E27" s="11" t="n">
        <v>0</v>
      </c>
      <c r="F27" s="15" t="n">
        <f aca="false">IF(ISNUMBER(D27),MAX(0,D27-N(E27)),"")</f>
        <v>40000000</v>
      </c>
      <c r="G27" s="11"/>
      <c r="H27" s="15" t="n">
        <f aca="false">IF(ISNUMBER(D27),MIN(N(G27)*N(C27),N(F27)),N(G27)*N(C27))</f>
        <v>0</v>
      </c>
      <c r="I27" s="16" t="s">
        <v>106</v>
      </c>
    </row>
    <row r="28" customFormat="false" ht="15" hidden="false" customHeight="false" outlineLevel="0" collapsed="false">
      <c r="A28" s="12" t="s">
        <v>119</v>
      </c>
      <c r="B28" s="12" t="s">
        <v>120</v>
      </c>
      <c r="C28" s="13" t="n">
        <v>1</v>
      </c>
      <c r="D28" s="11"/>
      <c r="E28" s="11"/>
      <c r="F28" s="15" t="str">
        <f aca="false">IF(ISNUMBER(D28),MAX(0,D28-N(E28)),"")</f>
        <v/>
      </c>
      <c r="G28" s="11"/>
      <c r="H28" s="15" t="n">
        <f aca="false">IF(ISNUMBER(D28),MIN(N(G28)*N(C28),N(F28)),N(G28)*N(C28))</f>
        <v>0</v>
      </c>
      <c r="I28" s="16" t="s">
        <v>121</v>
      </c>
    </row>
    <row r="29" customFormat="false" ht="15" hidden="false" customHeight="false" outlineLevel="0" collapsed="false">
      <c r="A29" s="12"/>
      <c r="B29" s="12"/>
      <c r="C29" s="11"/>
      <c r="D29" s="11"/>
      <c r="E29" s="11"/>
      <c r="F29" s="15" t="str">
        <f aca="false">IF(ISNUMBER(D29),MAX(0,D29-N(E29)),"")</f>
        <v/>
      </c>
      <c r="G29" s="11"/>
      <c r="H29" s="15" t="n">
        <f aca="false">IF(ISNUMBER(D29),MIN(N(G29)*N(C29),N(F29)),N(G29)*N(C29))</f>
        <v>0</v>
      </c>
      <c r="I29" s="16" t="s">
        <v>122</v>
      </c>
    </row>
    <row r="30" customFormat="false" ht="15" hidden="false" customHeight="false" outlineLevel="0" collapsed="false">
      <c r="A30" s="12"/>
      <c r="B30" s="12"/>
      <c r="C30" s="11"/>
      <c r="D30" s="11"/>
      <c r="E30" s="11"/>
      <c r="F30" s="15" t="str">
        <f aca="false">IF(ISNUMBER(D30),MAX(0,D30-N(E30)),"")</f>
        <v/>
      </c>
      <c r="G30" s="11"/>
      <c r="H30" s="15" t="n">
        <f aca="false">IF(ISNUMBER(D30),MIN(N(G30)*N(C30),N(F30)),N(G30)*N(C30))</f>
        <v>0</v>
      </c>
      <c r="I30" s="16" t="s">
        <v>122</v>
      </c>
    </row>
    <row r="32" customFormat="false" ht="15" hidden="false" customHeight="false" outlineLevel="0" collapsed="false">
      <c r="A32" s="3" t="s">
        <v>123</v>
      </c>
      <c r="B32" s="7" t="n">
        <f aca="false">SUM(E5:E30)</f>
        <v>399826815</v>
      </c>
    </row>
    <row r="33" customFormat="false" ht="15" hidden="false" customHeight="false" outlineLevel="0" collapsed="false">
      <c r="A33" s="3" t="s">
        <v>124</v>
      </c>
      <c r="B33" s="7" t="n">
        <f aca="false">'Iso Fest'!B6-B32</f>
        <v>90192500</v>
      </c>
    </row>
    <row r="34" customFormat="false" ht="15" hidden="false" customHeight="false" outlineLevel="0" collapsed="false">
      <c r="A34" s="3" t="s">
        <v>9</v>
      </c>
      <c r="B34" s="7" t="n">
        <f aca="false">'Iso Fest'!B6</f>
        <v>490019315</v>
      </c>
    </row>
    <row r="35" customFormat="false" ht="15" hidden="false" customHeight="false" outlineLevel="0" collapsed="false">
      <c r="A35" s="3" t="s">
        <v>125</v>
      </c>
      <c r="B35" s="7" t="n">
        <f aca="false">SUM(H5:H30)</f>
        <v>12830000</v>
      </c>
    </row>
    <row r="36" customFormat="false" ht="15" hidden="false" customHeight="false" outlineLevel="0" collapsed="false">
      <c r="A36" s="3" t="s">
        <v>126</v>
      </c>
      <c r="B36" s="7" t="n">
        <f aca="false">B34+B35</f>
        <v>502849315</v>
      </c>
    </row>
    <row r="37" customFormat="false" ht="15" hidden="false" customHeight="false" outlineLevel="0" collapsed="false">
      <c r="A37" s="3" t="s">
        <v>127</v>
      </c>
      <c r="B37" s="7" t="n">
        <f aca="false">IFERROR(INDEX('Iso Fest'!A13:A54,MATCH(B36,'Iso Fest'!B13:B54,1)),"Below milestone 15")</f>
        <v>23</v>
      </c>
    </row>
    <row r="38" customFormat="false" ht="15" hidden="false" customHeight="false" outlineLevel="0" collapsed="false">
      <c r="A38" s="3" t="s">
        <v>128</v>
      </c>
      <c r="B38" s="7" t="n">
        <f aca="false">MAX(0,INDEX('Iso Fest'!B13:B54,'Iso Fest'!B9)-B36)</f>
        <v>97150685</v>
      </c>
    </row>
    <row r="40" customFormat="false" ht="15" hidden="false" customHeight="false" outlineLevel="0" collapsed="false">
      <c r="A40" s="2" t="s">
        <v>129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2026-10-14T23:24:20Z</dcterms:created>
  <dc:creator>openpyxl</dc:creator>
  <dc:description/>
  <dc:language>en-US</dc:language>
  <cp:lastModifiedBy/>
  <dcterms:modified xsi:type="dcterms:W3CDTF">2026-10-14T23:24:20Z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