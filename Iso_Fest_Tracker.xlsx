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<sst xmlns="http://schemas.openxmlformats.org/spreadsheetml/2006/main" count="221" uniqueCount="130">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</sst>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500571615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24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1400000</v>
      </c>
      <c r="G7" s="7" t="n">
        <f aca="false">SUMPRODUCT((B13:B54&lt;&gt;"")*(B13:B54&lt;=$B$6)*(H13:H54&lt;&gt;"Claimed")*G13:G54)</f>
        <v>1900000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24428385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511376615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99428385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28688750.0299066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24428385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49428385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99428385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149428385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249428385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399428385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599428385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799428385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999428385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1199428385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1399428385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1599428385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1799428385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1999428385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2199428385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2399428385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2599428385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2799428385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2999428385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159025315</v>
      </c>
      <c r="F6" s="15" t="n">
        <f aca="false">IF(ISNUMBER(D6),MAX(0,D6-N(E6)),"")</f>
        <v>340974685</v>
      </c>
      <c r="G6" s="11" t="n">
        <v>9650000</v>
      </c>
      <c r="H6" s="15" t="n">
        <f aca="false">IF(ISNUMBER(D6),MIN(N(G6)*N(C6),N(F6)),N(G6)*N(C6))</f>
        <v>9650000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10500000</v>
      </c>
      <c r="F7" s="15" t="n">
        <f aca="false">IF(ISNUMBER(D7),MAX(0,D7-N(E7)),"")</f>
        <v>239500000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405026815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95544800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500571615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10805000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511376615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88623385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2026-10-15T09:49:11Z</dcterms:created>
  <dc:creator>openpyxl</dc:creator>
  <dc:description/>
  <dc:language>en-US</dc:language>
  <cp:lastModifiedBy/>
  <dcterms:modified xsi:type="dcterms:W3CDTF">2026-10-15T09:49:11Z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