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on Vengeance" sheetId="1" state="visible" r:id="rId3"/>
    <sheet name="Scoring" sheetId="2" state="visible" r:id="rId4"/>
  </sheets>
  <definedNames>
    <definedName function="false" hidden="true" localSheetId="1" name="_xlnm._FilterDatabase" vbProcedure="false">Scoring!$A$4:$J$46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<sst xmlns="http://schemas.openxmlformats.org/spreadsheetml/2006/main" count="325" uniqueCount="154">
  <si>
    <t xml:space="preserve">Iron Vengeance Milestone Tracker</t>
  </si>
  <si>
    <t xml:space="preserve">Update Current points as you play and set each Status from its dropdown. Fill in the yellow cells for your own account.</t>
  </si>
  <si>
    <t xml:space="preserve">Scoring</t>
  </si>
  <si>
    <t xml:space="preserve">Earn 5-Diamond Blade (Mighty)</t>
  </si>
  <si>
    <t xml:space="preserve">Ends (approx.)</t>
  </si>
  <si>
    <t xml:space="preserve">Current points</t>
  </si>
  <si>
    <t xml:space="preserve">Reachable with planned tasks</t>
  </si>
  <si>
    <t xml:space="preserve">Milestones reached</t>
  </si>
  <si>
    <t xml:space="preserve">Highest milestone that reaches</t>
  </si>
  <si>
    <t xml:space="preserve">Next milestone</t>
  </si>
  <si>
    <t xml:space="preserve">Ready to claim now</t>
  </si>
  <si>
    <t xml:space="preserve">Points to next</t>
  </si>
  <si>
    <t xml:space="preserve">Points to max</t>
  </si>
  <si>
    <t xml:space="preserve">Points per day for max</t>
  </si>
  <si>
    <t xml:space="preserve">Milestone</t>
  </si>
  <si>
    <t xml:space="preserve">Points needed</t>
  </si>
  <si>
    <t xml:space="preserve">Reward</t>
  </si>
  <si>
    <t xml:space="preserve">Notes</t>
  </si>
  <si>
    <t xml:space="preserve">Points to go</t>
  </si>
  <si>
    <t xml:space="preserve">Status</t>
  </si>
  <si>
    <t xml:space="preserve">45 Yellowjacket shards</t>
  </si>
  <si>
    <t xml:space="preserve">Points needed not known yet</t>
  </si>
  <si>
    <t xml:space="preserve">Not claimed</t>
  </si>
  <si>
    <t xml:space="preserve">45 Crossbones shards</t>
  </si>
  <si>
    <t xml:space="preserve">45 Whiplash shards</t>
  </si>
  <si>
    <t xml:space="preserve">45 Ulysses Klaue shards</t>
  </si>
  <si>
    <t xml:space="preserve">45 Iron Monger shards</t>
  </si>
  <si>
    <t xml:space="preserve">45 Hulk shards</t>
  </si>
  <si>
    <t xml:space="preserve">45 Spider-Man shards</t>
  </si>
  <si>
    <t xml:space="preserve">45 Spider-Woman (Julia) shards</t>
  </si>
  <si>
    <t xml:space="preserve">45 Rachel Cole-Alves shards</t>
  </si>
  <si>
    <t xml:space="preserve">45 Blade shards</t>
  </si>
  <si>
    <t xml:space="preserve">Yellowjacket to 7 red stars</t>
  </si>
  <si>
    <t xml:space="preserve">Crossbones to 7 red stars</t>
  </si>
  <si>
    <t xml:space="preserve">Hulk to 7 red stars + 3,000 costume credits</t>
  </si>
  <si>
    <t xml:space="preserve">Spider-Man to 7 red stars + 3,000 costume credits</t>
  </si>
  <si>
    <t xml:space="preserve">Whiplash to 7 red stars + 4,000 costume credits</t>
  </si>
  <si>
    <t xml:space="preserve">Ulysses Klaue to 7 red stars + 4,000 costume credits</t>
  </si>
  <si>
    <t xml:space="preserve">Iron Monger to 7 red stars + 5,000 costume credits</t>
  </si>
  <si>
    <t xml:space="preserve">Spider-Woman (Julia) to 7 red stars + 5,000 costume credits</t>
  </si>
  <si>
    <t xml:space="preserve">Rachel Cole-Alves to 7 red stars + 5,000 costume credits</t>
  </si>
  <si>
    <t xml:space="preserve">Blade to 7 red stars + 6,000 costume credits</t>
  </si>
  <si>
    <t xml:space="preserve">55 Yellowjacket shards + 6,000 costume credits</t>
  </si>
  <si>
    <t xml:space="preserve">55 Crossbones shards + 6,000 costume credits</t>
  </si>
  <si>
    <t xml:space="preserve">55 Whiplash shards + 6,000 costume credits</t>
  </si>
  <si>
    <t xml:space="preserve">55 Ulysses Klaue shards + 7,000 costume credits</t>
  </si>
  <si>
    <t xml:space="preserve">55 Iron Monger shards + 7,000 costume credits</t>
  </si>
  <si>
    <t xml:space="preserve">55 Hulk shards + 7,000 costume credits</t>
  </si>
  <si>
    <t xml:space="preserve">55 Spider-Man shards + 8,000 costume credits</t>
  </si>
  <si>
    <t xml:space="preserve">55 Spider-Woman (Julia) shards + 9,000 costume credits</t>
  </si>
  <si>
    <t xml:space="preserve">55 Rachel Cole-Alves shards + 9,000 costume credits</t>
  </si>
  <si>
    <t xml:space="preserve">No reward shown in game</t>
  </si>
  <si>
    <t xml:space="preserve">Spider-Man Diamond 1</t>
  </si>
  <si>
    <t xml:space="preserve">Yellowjacket Diamond 2</t>
  </si>
  <si>
    <t xml:space="preserve">Crossbones Diamond 2</t>
  </si>
  <si>
    <t xml:space="preserve">Hulk Diamond 2</t>
  </si>
  <si>
    <t xml:space="preserve">Spider-Man Diamond 2</t>
  </si>
  <si>
    <t xml:space="preserve">Yellowjacket Diamond 3</t>
  </si>
  <si>
    <t xml:space="preserve">Crossbones Diamond 3</t>
  </si>
  <si>
    <t xml:space="preserve">Whiplash Diamond 1</t>
  </si>
  <si>
    <t xml:space="preserve">Confirm points needed in game</t>
  </si>
  <si>
    <t xml:space="preserve">Ulysses Klaue Diamond 1</t>
  </si>
  <si>
    <t xml:space="preserve">Iron Monger Diamond 1</t>
  </si>
  <si>
    <t xml:space="preserve">Hulk Diamond 3</t>
  </si>
  <si>
    <t xml:space="preserve">Spider-Man Diamond 3</t>
  </si>
  <si>
    <t xml:space="preserve">Hulk Diamond 4</t>
  </si>
  <si>
    <t xml:space="preserve">Spider-Man Diamond 4</t>
  </si>
  <si>
    <t xml:space="preserve">Jocasta to 7 red stars</t>
  </si>
  <si>
    <t xml:space="preserve">Hulk Diamond 5</t>
  </si>
  <si>
    <t xml:space="preserve">Spider-Man Diamond 5</t>
  </si>
  <si>
    <t xml:space="preserve">Whiplash Diamond 2</t>
  </si>
  <si>
    <t xml:space="preserve">Ulysses Klaue Diamond 2</t>
  </si>
  <si>
    <t xml:space="preserve">Iron Monger Diamond 2</t>
  </si>
  <si>
    <t xml:space="preserve">Jocasta Diamond 1</t>
  </si>
  <si>
    <t xml:space="preserve">Whiplash Diamond 3</t>
  </si>
  <si>
    <t xml:space="preserve">Ulysses Klaue Diamond 3</t>
  </si>
  <si>
    <t xml:space="preserve">Iron Monger Diamond 3</t>
  </si>
  <si>
    <t xml:space="preserve">Spider-Woman (Julia) Diamond 2</t>
  </si>
  <si>
    <t xml:space="preserve">Rachel Cole-Alves Diamond 2</t>
  </si>
  <si>
    <t xml:space="preserve">Blade Diamond 2</t>
  </si>
  <si>
    <t xml:space="preserve">Jocasta Diamond 2</t>
  </si>
  <si>
    <t xml:space="preserve">Spider-Woman (Julia) Diamond 3</t>
  </si>
  <si>
    <t xml:space="preserve">Rachel Cole-Alves Diamond 3</t>
  </si>
  <si>
    <t xml:space="preserve">Blade Diamond 3</t>
  </si>
  <si>
    <t xml:space="preserve">How to earn points</t>
  </si>
  <si>
    <t xml:space="preserve">Update Earned from the event info screen. Set Plan to No for tasks you can't do, and the summary adjusts.</t>
  </si>
  <si>
    <t xml:space="preserve">Type</t>
  </si>
  <si>
    <t xml:space="preserve">Task</t>
  </si>
  <si>
    <t xml:space="preserve">Points each</t>
  </si>
  <si>
    <t xml:space="preserve">Limit</t>
  </si>
  <si>
    <t xml:space="preserve">Earned</t>
  </si>
  <si>
    <t xml:space="preserve">Points left</t>
  </si>
  <si>
    <t xml:space="preserve">Times to max</t>
  </si>
  <si>
    <t xml:space="preserve">Times done</t>
  </si>
  <si>
    <t xml:space="preserve">Times left</t>
  </si>
  <si>
    <t xml:space="preserve">Plan</t>
  </si>
  <si>
    <t xml:space="preserve">Daily</t>
  </si>
  <si>
    <t xml:space="preserve">Daily Login</t>
  </si>
  <si>
    <t xml:space="preserve">Yes</t>
  </si>
  <si>
    <t xml:space="preserve">Complete All Clear daily mission</t>
  </si>
  <si>
    <t xml:space="preserve">Spend</t>
  </si>
  <si>
    <t xml:space="preserve">Spend 1 Gold</t>
  </si>
  <si>
    <t xml:space="preserve">No</t>
  </si>
  <si>
    <t xml:space="preserve">Spend 1 Power Core</t>
  </si>
  <si>
    <t xml:space="preserve">Level</t>
  </si>
  <si>
    <t xml:space="preserve">Upgrade any character to level 101</t>
  </si>
  <si>
    <t xml:space="preserve">Upgrade any character to level 110</t>
  </si>
  <si>
    <t xml:space="preserve">Raid</t>
  </si>
  <si>
    <t xml:space="preserve">Alliance Raid with Blade (Mighty)</t>
  </si>
  <si>
    <t xml:space="preserve">Alliance Raid with Blade (Mighty), 7 yellow stars, Gear Tier 20</t>
  </si>
  <si>
    <t xml:space="preserve">Alliance Raid with Spider-Woman (Julia)</t>
  </si>
  <si>
    <t xml:space="preserve">Alliance Raid with Spider-Woman (Julia), 7 yellow stars, Gear Tier 20</t>
  </si>
  <si>
    <t xml:space="preserve">Alliance Raid with Rachel Cole-Alves</t>
  </si>
  <si>
    <t xml:space="preserve">Alliance Raid with Rachel Cole-Alves, 7 yellow stars, Gear Tier 20</t>
  </si>
  <si>
    <t xml:space="preserve">Alliance Raid with Spider-Man</t>
  </si>
  <si>
    <t xml:space="preserve">Alliance Raid with Spider-Man, 7 yellow stars</t>
  </si>
  <si>
    <t xml:space="preserve">Alliance Raid with Hulk</t>
  </si>
  <si>
    <t xml:space="preserve">Alliance Raid with Hulk, 7 yellow stars</t>
  </si>
  <si>
    <t xml:space="preserve">Alliance Raid with Yellowjacket</t>
  </si>
  <si>
    <t xml:space="preserve">Alliance Raid with Yellowjacket, 7 yellow stars</t>
  </si>
  <si>
    <t xml:space="preserve">Alliance Raid with Crossbones</t>
  </si>
  <si>
    <t xml:space="preserve">Alliance Raid with Crossbones, 7 yellow stars</t>
  </si>
  <si>
    <t xml:space="preserve">Alliance Raid with Whiplash</t>
  </si>
  <si>
    <t xml:space="preserve">Alliance Raid with Whiplash, 7 yellow stars, Gear Tier 20</t>
  </si>
  <si>
    <t xml:space="preserve">Alliance Raid with Ulysses Klaue</t>
  </si>
  <si>
    <t xml:space="preserve">Alliance Raid with Ulysses Klaue, 7 yellow stars, Gear Tier 20</t>
  </si>
  <si>
    <t xml:space="preserve">Alliance Raid with Iron Monger</t>
  </si>
  <si>
    <t xml:space="preserve">Alliance Raid with Iron Monger, 7 yellow stars, Gear Tier 20</t>
  </si>
  <si>
    <t xml:space="preserve">Blitz</t>
  </si>
  <si>
    <t xml:space="preserve">Blitz with Jocasta</t>
  </si>
  <si>
    <t xml:space="preserve">Blitz with Jocasta, 4 yellow stars</t>
  </si>
  <si>
    <t xml:space="preserve">Blitz with Jocasta, 7 yellow stars</t>
  </si>
  <si>
    <t xml:space="preserve">Jocasta</t>
  </si>
  <si>
    <t xml:space="preserve">Upgrade Jocasta to Gear Tier 21</t>
  </si>
  <si>
    <t xml:space="preserve">Upgrade Jocasta to T4 Level 3 Iso-8</t>
  </si>
  <si>
    <t xml:space="preserve">Iron Raider</t>
  </si>
  <si>
    <t xml:space="preserve">Upgrade an Iron Raider to Gear Tier 20</t>
  </si>
  <si>
    <t xml:space="preserve">Upgrade an Iron Raider to Gear Tier 21</t>
  </si>
  <si>
    <t xml:space="preserve">Upgrade an Iron Raider to T3 Level 5 Iso-8</t>
  </si>
  <si>
    <t xml:space="preserve">Upgrade an Iron Raider to T4 Level 1 Iso-8</t>
  </si>
  <si>
    <t xml:space="preserve">Upgrade an Iron Raider to T4 Level 3 Iso-8</t>
  </si>
  <si>
    <t xml:space="preserve">Amazing Avenger</t>
  </si>
  <si>
    <t xml:space="preserve">Upgrade an Amazing Avenger to Gear Tier 20</t>
  </si>
  <si>
    <t xml:space="preserve">Upgrade an Amazing Avenger to Gear Tier 21</t>
  </si>
  <si>
    <t xml:space="preserve">Upgrade an Amazing Avenger to T3 Level 5 Iso-8</t>
  </si>
  <si>
    <t xml:space="preserve">Upgrade an Amazing Avenger to T4 Level 1 Iso-8</t>
  </si>
  <si>
    <t xml:space="preserve">Upgrade an Amazing Avenger to T4 Level 3 Iso-8</t>
  </si>
  <si>
    <t xml:space="preserve">Offers</t>
  </si>
  <si>
    <t xml:space="preserve">Milestone points from select offers</t>
  </si>
  <si>
    <t xml:space="preserve">Unlimited</t>
  </si>
  <si>
    <t xml:space="preserve">Earned so far from listed tasks</t>
  </si>
  <si>
    <t xml:space="preserve">Points left, all tasks</t>
  </si>
  <si>
    <t xml:space="preserve">Points left, tasks planned</t>
  </si>
  <si>
    <t xml:space="preserve">One task, limit 100,000,000, was cut off in your screenshots and isn't listed.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</si>
</sst>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&quot;, &quot;h:mm\ AM/PM"/>
    <numFmt numFmtId="166" formatCode="#,##0"/>
    <numFmt numFmtId="167" formatCode="#,##0;\-#,##0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ont>
        <name val="Arial"/>
        <charset val="1"/>
        <family val="0"/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3" t="s">
        <v>4</v>
      </c>
      <c r="B5" s="4" t="n">
        <v>46313.6875</v>
      </c>
    </row>
    <row r="6" customFormat="false" ht="15" hidden="false" customHeight="false" outlineLevel="0" collapsed="false">
      <c r="A6" s="3" t="s">
        <v>5</v>
      </c>
      <c r="B6" s="5" t="n">
        <v>0</v>
      </c>
      <c r="D6" s="3" t="s">
        <v>6</v>
      </c>
      <c r="E6" s="6" t="n">
        <f aca="false">B6+Scoring!F50</f>
        <v>5870000000</v>
      </c>
    </row>
    <row r="7" customFormat="false" ht="15" hidden="false" customHeight="false" outlineLevel="0" collapsed="false">
      <c r="A7" s="3" t="s">
        <v>7</v>
      </c>
      <c r="B7" s="3" t="n">
        <f aca="false">SUMPRODUCT((B13:B76&lt;&gt;"")*(B13:B76&lt;=B6))+SUMPRODUCT((B13:B76="")*(F13:F76="Claimed"))</f>
        <v>0</v>
      </c>
      <c r="D7" s="3" t="s">
        <v>8</v>
      </c>
      <c r="E7" s="3" t="n">
        <f aca="false">IFERROR(INDEX(A13:A76,MATCH(E6,B13:B76,1)),37)</f>
        <v>64</v>
      </c>
    </row>
    <row r="8" customFormat="false" ht="15" hidden="false" customHeight="false" outlineLevel="0" collapsed="false">
      <c r="A8" s="3" t="s">
        <v>9</v>
      </c>
      <c r="B8" s="3" t="n">
        <f aca="false">IFERROR(INDEX(A13:A76,MATCH(TRUE(),INDEX(B13:B76&gt;B6,0),0)),"All done")</f>
        <v>38</v>
      </c>
      <c r="D8" s="3" t="s">
        <v>10</v>
      </c>
      <c r="E8" s="3" t="n">
        <f aca="false">SUMPRODUCT((B13:B76&lt;&gt;"")*(B13:B76&lt;=B6)*(F13:F76&lt;&gt;"Claimed"))</f>
        <v>0</v>
      </c>
    </row>
    <row r="9" customFormat="false" ht="15" hidden="false" customHeight="false" outlineLevel="0" collapsed="false">
      <c r="A9" s="3" t="s">
        <v>11</v>
      </c>
      <c r="B9" s="6" t="n">
        <f aca="false">IFERROR(INDEX(E13:E76,MATCH(TRUE(),INDEX(B13:B76&gt;B6,0),0)),0)</f>
        <v>435000000</v>
      </c>
    </row>
    <row r="10" customFormat="false" ht="15" hidden="false" customHeight="false" outlineLevel="0" collapsed="false">
      <c r="A10" s="3" t="s">
        <v>12</v>
      </c>
      <c r="B10" s="6" t="n">
        <f aca="false">MAX(0,B76-B6)</f>
        <v>4125000000</v>
      </c>
    </row>
    <row r="11" customFormat="false" ht="15" hidden="false" customHeight="false" outlineLevel="0" collapsed="false">
      <c r="A11" s="3" t="s">
        <v>13</v>
      </c>
      <c r="B11" s="6" t="n">
        <f aca="true">IFERROR(B10/MAX(B5-NOW(),0.01),0)</f>
        <v>574363156.896709</v>
      </c>
    </row>
    <row r="12" customFormat="false" ht="15" hidden="false" customHeight="false" outlineLevel="0" collapsed="false">
      <c r="A12" s="7" t="s">
        <v>14</v>
      </c>
      <c r="B12" s="7" t="s">
        <v>15</v>
      </c>
      <c r="C12" s="7" t="s">
        <v>16</v>
      </c>
      <c r="D12" s="7" t="s">
        <v>17</v>
      </c>
      <c r="E12" s="7" t="s">
        <v>18</v>
      </c>
      <c r="F12" s="7" t="s">
        <v>19</v>
      </c>
    </row>
    <row r="13" customFormat="false" ht="15" hidden="false" customHeight="false" outlineLevel="0" collapsed="false">
      <c r="A13" s="8" t="n">
        <v>1</v>
      </c>
      <c r="B13" s="9"/>
      <c r="C13" s="10" t="s">
        <v>20</v>
      </c>
      <c r="D13" s="10" t="s">
        <v>21</v>
      </c>
      <c r="E13" s="11" t="str">
        <f aca="false">IF(B13="","",MAX(0,B13-$B$6))</f>
        <v/>
      </c>
      <c r="F13" s="12" t="s">
        <v>22</v>
      </c>
    </row>
    <row r="14" customFormat="false" ht="15" hidden="false" customHeight="false" outlineLevel="0" collapsed="false">
      <c r="A14" s="8" t="n">
        <v>2</v>
      </c>
      <c r="B14" s="9"/>
      <c r="C14" s="10" t="s">
        <v>23</v>
      </c>
      <c r="D14" s="10" t="s">
        <v>21</v>
      </c>
      <c r="E14" s="11" t="str">
        <f aca="false">IF(B14="","",MAX(0,B14-$B$6))</f>
        <v/>
      </c>
      <c r="F14" s="12" t="s">
        <v>22</v>
      </c>
    </row>
    <row r="15" customFormat="false" ht="15" hidden="false" customHeight="false" outlineLevel="0" collapsed="false">
      <c r="A15" s="8" t="n">
        <v>3</v>
      </c>
      <c r="B15" s="9"/>
      <c r="C15" s="10" t="s">
        <v>24</v>
      </c>
      <c r="D15" s="10" t="s">
        <v>21</v>
      </c>
      <c r="E15" s="11" t="str">
        <f aca="false">IF(B15="","",MAX(0,B15-$B$6))</f>
        <v/>
      </c>
      <c r="F15" s="12" t="s">
        <v>22</v>
      </c>
    </row>
    <row r="16" customFormat="false" ht="15" hidden="false" customHeight="false" outlineLevel="0" collapsed="false">
      <c r="A16" s="8" t="n">
        <v>4</v>
      </c>
      <c r="B16" s="9"/>
      <c r="C16" s="10" t="s">
        <v>25</v>
      </c>
      <c r="D16" s="10" t="s">
        <v>21</v>
      </c>
      <c r="E16" s="11" t="str">
        <f aca="false">IF(B16="","",MAX(0,B16-$B$6))</f>
        <v/>
      </c>
      <c r="F16" s="12" t="s">
        <v>22</v>
      </c>
    </row>
    <row r="17" customFormat="false" ht="15" hidden="false" customHeight="false" outlineLevel="0" collapsed="false">
      <c r="A17" s="8" t="n">
        <v>5</v>
      </c>
      <c r="B17" s="9"/>
      <c r="C17" s="10" t="s">
        <v>26</v>
      </c>
      <c r="D17" s="10" t="s">
        <v>21</v>
      </c>
      <c r="E17" s="11" t="str">
        <f aca="false">IF(B17="","",MAX(0,B17-$B$6))</f>
        <v/>
      </c>
      <c r="F17" s="12" t="s">
        <v>22</v>
      </c>
    </row>
    <row r="18" customFormat="false" ht="15" hidden="false" customHeight="false" outlineLevel="0" collapsed="false">
      <c r="A18" s="8" t="n">
        <v>6</v>
      </c>
      <c r="B18" s="9"/>
      <c r="C18" s="10" t="s">
        <v>27</v>
      </c>
      <c r="D18" s="10" t="s">
        <v>21</v>
      </c>
      <c r="E18" s="11" t="str">
        <f aca="false">IF(B18="","",MAX(0,B18-$B$6))</f>
        <v/>
      </c>
      <c r="F18" s="12" t="s">
        <v>22</v>
      </c>
    </row>
    <row r="19" customFormat="false" ht="15" hidden="false" customHeight="false" outlineLevel="0" collapsed="false">
      <c r="A19" s="8" t="n">
        <v>7</v>
      </c>
      <c r="B19" s="9"/>
      <c r="C19" s="10" t="s">
        <v>28</v>
      </c>
      <c r="D19" s="10" t="s">
        <v>21</v>
      </c>
      <c r="E19" s="11" t="str">
        <f aca="false">IF(B19="","",MAX(0,B19-$B$6))</f>
        <v/>
      </c>
      <c r="F19" s="12" t="s">
        <v>22</v>
      </c>
    </row>
    <row r="20" customFormat="false" ht="15" hidden="false" customHeight="false" outlineLevel="0" collapsed="false">
      <c r="A20" s="8" t="n">
        <v>8</v>
      </c>
      <c r="B20" s="9"/>
      <c r="C20" s="10" t="s">
        <v>29</v>
      </c>
      <c r="D20" s="10" t="s">
        <v>21</v>
      </c>
      <c r="E20" s="11" t="str">
        <f aca="false">IF(B20="","",MAX(0,B20-$B$6))</f>
        <v/>
      </c>
      <c r="F20" s="12" t="s">
        <v>22</v>
      </c>
    </row>
    <row r="21" customFormat="false" ht="15" hidden="false" customHeight="false" outlineLevel="0" collapsed="false">
      <c r="A21" s="8" t="n">
        <v>9</v>
      </c>
      <c r="B21" s="9"/>
      <c r="C21" s="10" t="s">
        <v>30</v>
      </c>
      <c r="D21" s="10" t="s">
        <v>21</v>
      </c>
      <c r="E21" s="11" t="str">
        <f aca="false">IF(B21="","",MAX(0,B21-$B$6))</f>
        <v/>
      </c>
      <c r="F21" s="12" t="s">
        <v>22</v>
      </c>
    </row>
    <row r="22" customFormat="false" ht="15" hidden="false" customHeight="false" outlineLevel="0" collapsed="false">
      <c r="A22" s="8" t="n">
        <v>10</v>
      </c>
      <c r="B22" s="9"/>
      <c r="C22" s="10" t="s">
        <v>31</v>
      </c>
      <c r="D22" s="10" t="s">
        <v>21</v>
      </c>
      <c r="E22" s="11" t="str">
        <f aca="false">IF(B22="","",MAX(0,B22-$B$6))</f>
        <v/>
      </c>
      <c r="F22" s="12" t="s">
        <v>22</v>
      </c>
    </row>
    <row r="23" customFormat="false" ht="15" hidden="false" customHeight="false" outlineLevel="0" collapsed="false">
      <c r="A23" s="8" t="n">
        <v>11</v>
      </c>
      <c r="B23" s="9"/>
      <c r="C23" s="10" t="s">
        <v>32</v>
      </c>
      <c r="D23" s="10" t="s">
        <v>21</v>
      </c>
      <c r="E23" s="11" t="str">
        <f aca="false">IF(B23="","",MAX(0,B23-$B$6))</f>
        <v/>
      </c>
      <c r="F23" s="12" t="s">
        <v>22</v>
      </c>
    </row>
    <row r="24" customFormat="false" ht="15" hidden="false" customHeight="false" outlineLevel="0" collapsed="false">
      <c r="A24" s="8" t="n">
        <v>12</v>
      </c>
      <c r="B24" s="9"/>
      <c r="C24" s="10" t="s">
        <v>33</v>
      </c>
      <c r="D24" s="10" t="s">
        <v>21</v>
      </c>
      <c r="E24" s="11" t="str">
        <f aca="false">IF(B24="","",MAX(0,B24-$B$6))</f>
        <v/>
      </c>
      <c r="F24" s="12" t="s">
        <v>22</v>
      </c>
    </row>
    <row r="25" customFormat="false" ht="15" hidden="false" customHeight="false" outlineLevel="0" collapsed="false">
      <c r="A25" s="8" t="n">
        <v>13</v>
      </c>
      <c r="B25" s="9"/>
      <c r="C25" s="10" t="s">
        <v>34</v>
      </c>
      <c r="D25" s="10" t="s">
        <v>21</v>
      </c>
      <c r="E25" s="11" t="str">
        <f aca="false">IF(B25="","",MAX(0,B25-$B$6))</f>
        <v/>
      </c>
      <c r="F25" s="12" t="s">
        <v>22</v>
      </c>
    </row>
    <row r="26" customFormat="false" ht="15" hidden="false" customHeight="false" outlineLevel="0" collapsed="false">
      <c r="A26" s="8" t="n">
        <v>14</v>
      </c>
      <c r="B26" s="9"/>
      <c r="C26" s="10" t="s">
        <v>35</v>
      </c>
      <c r="D26" s="10" t="s">
        <v>21</v>
      </c>
      <c r="E26" s="11" t="str">
        <f aca="false">IF(B26="","",MAX(0,B26-$B$6))</f>
        <v/>
      </c>
      <c r="F26" s="12" t="s">
        <v>22</v>
      </c>
    </row>
    <row r="27" customFormat="false" ht="15" hidden="false" customHeight="false" outlineLevel="0" collapsed="false">
      <c r="A27" s="8" t="n">
        <v>15</v>
      </c>
      <c r="B27" s="9"/>
      <c r="C27" s="10" t="s">
        <v>36</v>
      </c>
      <c r="D27" s="10" t="s">
        <v>21</v>
      </c>
      <c r="E27" s="11" t="str">
        <f aca="false">IF(B27="","",MAX(0,B27-$B$6))</f>
        <v/>
      </c>
      <c r="F27" s="12" t="s">
        <v>22</v>
      </c>
    </row>
    <row r="28" customFormat="false" ht="15" hidden="false" customHeight="false" outlineLevel="0" collapsed="false">
      <c r="A28" s="8" t="n">
        <v>16</v>
      </c>
      <c r="B28" s="9"/>
      <c r="C28" s="10" t="s">
        <v>37</v>
      </c>
      <c r="D28" s="10" t="s">
        <v>21</v>
      </c>
      <c r="E28" s="11" t="str">
        <f aca="false">IF(B28="","",MAX(0,B28-$B$6))</f>
        <v/>
      </c>
      <c r="F28" s="12" t="s">
        <v>22</v>
      </c>
    </row>
    <row r="29" customFormat="false" ht="15" hidden="false" customHeight="false" outlineLevel="0" collapsed="false">
      <c r="A29" s="8" t="n">
        <v>17</v>
      </c>
      <c r="B29" s="9"/>
      <c r="C29" s="10" t="s">
        <v>38</v>
      </c>
      <c r="D29" s="10" t="s">
        <v>21</v>
      </c>
      <c r="E29" s="11" t="str">
        <f aca="false">IF(B29="","",MAX(0,B29-$B$6))</f>
        <v/>
      </c>
      <c r="F29" s="12" t="s">
        <v>22</v>
      </c>
    </row>
    <row r="30" customFormat="false" ht="15" hidden="false" customHeight="false" outlineLevel="0" collapsed="false">
      <c r="A30" s="8" t="n">
        <v>18</v>
      </c>
      <c r="B30" s="9"/>
      <c r="C30" s="10" t="s">
        <v>39</v>
      </c>
      <c r="D30" s="10" t="s">
        <v>21</v>
      </c>
      <c r="E30" s="11" t="str">
        <f aca="false">IF(B30="","",MAX(0,B30-$B$6))</f>
        <v/>
      </c>
      <c r="F30" s="12" t="s">
        <v>22</v>
      </c>
    </row>
    <row r="31" customFormat="false" ht="15" hidden="false" customHeight="false" outlineLevel="0" collapsed="false">
      <c r="A31" s="8" t="n">
        <v>19</v>
      </c>
      <c r="B31" s="9"/>
      <c r="C31" s="10" t="s">
        <v>40</v>
      </c>
      <c r="D31" s="10" t="s">
        <v>21</v>
      </c>
      <c r="E31" s="11" t="str">
        <f aca="false">IF(B31="","",MAX(0,B31-$B$6))</f>
        <v/>
      </c>
      <c r="F31" s="12" t="s">
        <v>22</v>
      </c>
    </row>
    <row r="32" customFormat="false" ht="15" hidden="false" customHeight="false" outlineLevel="0" collapsed="false">
      <c r="A32" s="8" t="n">
        <v>20</v>
      </c>
      <c r="B32" s="9"/>
      <c r="C32" s="10" t="s">
        <v>41</v>
      </c>
      <c r="D32" s="10" t="s">
        <v>21</v>
      </c>
      <c r="E32" s="11" t="str">
        <f aca="false">IF(B32="","",MAX(0,B32-$B$6))</f>
        <v/>
      </c>
      <c r="F32" s="12" t="s">
        <v>22</v>
      </c>
    </row>
    <row r="33" customFormat="false" ht="15" hidden="false" customHeight="false" outlineLevel="0" collapsed="false">
      <c r="A33" s="8" t="n">
        <v>21</v>
      </c>
      <c r="B33" s="9"/>
      <c r="C33" s="10" t="s">
        <v>42</v>
      </c>
      <c r="D33" s="10" t="s">
        <v>21</v>
      </c>
      <c r="E33" s="11" t="str">
        <f aca="false">IF(B33="","",MAX(0,B33-$B$6))</f>
        <v/>
      </c>
      <c r="F33" s="12" t="s">
        <v>22</v>
      </c>
    </row>
    <row r="34" customFormat="false" ht="15" hidden="false" customHeight="false" outlineLevel="0" collapsed="false">
      <c r="A34" s="8" t="n">
        <v>22</v>
      </c>
      <c r="B34" s="9"/>
      <c r="C34" s="10" t="s">
        <v>43</v>
      </c>
      <c r="D34" s="10" t="s">
        <v>21</v>
      </c>
      <c r="E34" s="11" t="str">
        <f aca="false">IF(B34="","",MAX(0,B34-$B$6))</f>
        <v/>
      </c>
      <c r="F34" s="12" t="s">
        <v>22</v>
      </c>
    </row>
    <row r="35" customFormat="false" ht="15" hidden="false" customHeight="false" outlineLevel="0" collapsed="false">
      <c r="A35" s="8" t="n">
        <v>23</v>
      </c>
      <c r="B35" s="9"/>
      <c r="C35" s="10" t="s">
        <v>44</v>
      </c>
      <c r="D35" s="10" t="s">
        <v>21</v>
      </c>
      <c r="E35" s="11" t="str">
        <f aca="false">IF(B35="","",MAX(0,B35-$B$6))</f>
        <v/>
      </c>
      <c r="F35" s="12" t="s">
        <v>22</v>
      </c>
    </row>
    <row r="36" customFormat="false" ht="15" hidden="false" customHeight="false" outlineLevel="0" collapsed="false">
      <c r="A36" s="8" t="n">
        <v>24</v>
      </c>
      <c r="B36" s="9"/>
      <c r="C36" s="10" t="s">
        <v>45</v>
      </c>
      <c r="D36" s="10" t="s">
        <v>21</v>
      </c>
      <c r="E36" s="11" t="str">
        <f aca="false">IF(B36="","",MAX(0,B36-$B$6))</f>
        <v/>
      </c>
      <c r="F36" s="12" t="s">
        <v>22</v>
      </c>
    </row>
    <row r="37" customFormat="false" ht="15" hidden="false" customHeight="false" outlineLevel="0" collapsed="false">
      <c r="A37" s="8" t="n">
        <v>25</v>
      </c>
      <c r="B37" s="9"/>
      <c r="C37" s="10" t="s">
        <v>46</v>
      </c>
      <c r="D37" s="10" t="s">
        <v>21</v>
      </c>
      <c r="E37" s="11" t="str">
        <f aca="false">IF(B37="","",MAX(0,B37-$B$6))</f>
        <v/>
      </c>
      <c r="F37" s="12" t="s">
        <v>22</v>
      </c>
    </row>
    <row r="38" customFormat="false" ht="15" hidden="false" customHeight="false" outlineLevel="0" collapsed="false">
      <c r="A38" s="8" t="n">
        <v>26</v>
      </c>
      <c r="B38" s="9"/>
      <c r="C38" s="10" t="s">
        <v>47</v>
      </c>
      <c r="D38" s="10" t="s">
        <v>21</v>
      </c>
      <c r="E38" s="11" t="str">
        <f aca="false">IF(B38="","",MAX(0,B38-$B$6))</f>
        <v/>
      </c>
      <c r="F38" s="12" t="s">
        <v>22</v>
      </c>
    </row>
    <row r="39" customFormat="false" ht="15" hidden="false" customHeight="false" outlineLevel="0" collapsed="false">
      <c r="A39" s="8" t="n">
        <v>27</v>
      </c>
      <c r="B39" s="9"/>
      <c r="C39" s="10" t="s">
        <v>48</v>
      </c>
      <c r="D39" s="10" t="s">
        <v>21</v>
      </c>
      <c r="E39" s="11" t="str">
        <f aca="false">IF(B39="","",MAX(0,B39-$B$6))</f>
        <v/>
      </c>
      <c r="F39" s="12" t="s">
        <v>22</v>
      </c>
    </row>
    <row r="40" customFormat="false" ht="15" hidden="false" customHeight="false" outlineLevel="0" collapsed="false">
      <c r="A40" s="8" t="n">
        <v>28</v>
      </c>
      <c r="B40" s="9"/>
      <c r="C40" s="10" t="s">
        <v>49</v>
      </c>
      <c r="D40" s="10" t="s">
        <v>21</v>
      </c>
      <c r="E40" s="11" t="str">
        <f aca="false">IF(B40="","",MAX(0,B40-$B$6))</f>
        <v/>
      </c>
      <c r="F40" s="12" t="s">
        <v>22</v>
      </c>
    </row>
    <row r="41" customFormat="false" ht="15" hidden="false" customHeight="false" outlineLevel="0" collapsed="false">
      <c r="A41" s="8" t="n">
        <v>29</v>
      </c>
      <c r="B41" s="9"/>
      <c r="C41" s="10" t="s">
        <v>50</v>
      </c>
      <c r="D41" s="10" t="s">
        <v>21</v>
      </c>
      <c r="E41" s="11" t="str">
        <f aca="false">IF(B41="","",MAX(0,B41-$B$6))</f>
        <v/>
      </c>
      <c r="F41" s="12" t="s">
        <v>22</v>
      </c>
    </row>
    <row r="42" customFormat="false" ht="15" hidden="false" customHeight="false" outlineLevel="0" collapsed="false">
      <c r="A42" s="8" t="n">
        <v>30</v>
      </c>
      <c r="B42" s="9"/>
      <c r="C42" s="10"/>
      <c r="D42" s="10" t="s">
        <v>51</v>
      </c>
      <c r="E42" s="11" t="str">
        <f aca="false">IF(B42="","",MAX(0,B42-$B$6))</f>
        <v/>
      </c>
      <c r="F42" s="12" t="s">
        <v>22</v>
      </c>
    </row>
    <row r="43" customFormat="false" ht="15" hidden="false" customHeight="false" outlineLevel="0" collapsed="false">
      <c r="A43" s="8" t="n">
        <v>31</v>
      </c>
      <c r="B43" s="9"/>
      <c r="C43" s="10"/>
      <c r="D43" s="10" t="s">
        <v>51</v>
      </c>
      <c r="E43" s="11" t="str">
        <f aca="false">IF(B43="","",MAX(0,B43-$B$6))</f>
        <v/>
      </c>
      <c r="F43" s="12" t="s">
        <v>22</v>
      </c>
    </row>
    <row r="44" customFormat="false" ht="15" hidden="false" customHeight="false" outlineLevel="0" collapsed="false">
      <c r="A44" s="8" t="n">
        <v>32</v>
      </c>
      <c r="B44" s="9"/>
      <c r="C44" s="10"/>
      <c r="D44" s="10" t="s">
        <v>51</v>
      </c>
      <c r="E44" s="11" t="str">
        <f aca="false">IF(B44="","",MAX(0,B44-$B$6))</f>
        <v/>
      </c>
      <c r="F44" s="12" t="s">
        <v>22</v>
      </c>
    </row>
    <row r="45" customFormat="false" ht="15" hidden="false" customHeight="false" outlineLevel="0" collapsed="false">
      <c r="A45" s="8" t="n">
        <v>33</v>
      </c>
      <c r="B45" s="9"/>
      <c r="C45" s="10"/>
      <c r="D45" s="10" t="s">
        <v>51</v>
      </c>
      <c r="E45" s="11" t="str">
        <f aca="false">IF(B45="","",MAX(0,B45-$B$6))</f>
        <v/>
      </c>
      <c r="F45" s="12" t="s">
        <v>22</v>
      </c>
    </row>
    <row r="46" customFormat="false" ht="15" hidden="false" customHeight="false" outlineLevel="0" collapsed="false">
      <c r="A46" s="8" t="n">
        <v>34</v>
      </c>
      <c r="B46" s="9"/>
      <c r="C46" s="10" t="s">
        <v>52</v>
      </c>
      <c r="D46" s="10" t="s">
        <v>21</v>
      </c>
      <c r="E46" s="11" t="str">
        <f aca="false">IF(B46="","",MAX(0,B46-$B$6))</f>
        <v/>
      </c>
      <c r="F46" s="12" t="s">
        <v>22</v>
      </c>
    </row>
    <row r="47" customFormat="false" ht="15" hidden="false" customHeight="false" outlineLevel="0" collapsed="false">
      <c r="A47" s="8" t="n">
        <v>35</v>
      </c>
      <c r="B47" s="9"/>
      <c r="C47" s="10" t="s">
        <v>53</v>
      </c>
      <c r="D47" s="10" t="s">
        <v>21</v>
      </c>
      <c r="E47" s="11" t="str">
        <f aca="false">IF(B47="","",MAX(0,B47-$B$6))</f>
        <v/>
      </c>
      <c r="F47" s="12" t="s">
        <v>22</v>
      </c>
    </row>
    <row r="48" customFormat="false" ht="15" hidden="false" customHeight="false" outlineLevel="0" collapsed="false">
      <c r="A48" s="8" t="n">
        <v>36</v>
      </c>
      <c r="B48" s="9"/>
      <c r="C48" s="10" t="s">
        <v>54</v>
      </c>
      <c r="D48" s="10" t="s">
        <v>21</v>
      </c>
      <c r="E48" s="11" t="str">
        <f aca="false">IF(B48="","",MAX(0,B48-$B$6))</f>
        <v/>
      </c>
      <c r="F48" s="12" t="s">
        <v>22</v>
      </c>
    </row>
    <row r="49" customFormat="false" ht="15" hidden="false" customHeight="false" outlineLevel="0" collapsed="false">
      <c r="A49" s="8" t="n">
        <v>37</v>
      </c>
      <c r="B49" s="9"/>
      <c r="C49" s="10" t="s">
        <v>55</v>
      </c>
      <c r="D49" s="10" t="s">
        <v>21</v>
      </c>
      <c r="E49" s="11" t="str">
        <f aca="false">IF(B49="","",MAX(0,B49-$B$6))</f>
        <v/>
      </c>
      <c r="F49" s="12" t="s">
        <v>22</v>
      </c>
    </row>
    <row r="50" customFormat="false" ht="15" hidden="false" customHeight="false" outlineLevel="0" collapsed="false">
      <c r="A50" s="8" t="n">
        <v>38</v>
      </c>
      <c r="B50" s="13" t="n">
        <v>435000000</v>
      </c>
      <c r="C50" s="10" t="s">
        <v>56</v>
      </c>
      <c r="D50" s="10"/>
      <c r="E50" s="11" t="n">
        <f aca="false">IF(B50="","",MAX(0,B50-$B$6))</f>
        <v>435000000</v>
      </c>
      <c r="F50" s="12" t="s">
        <v>22</v>
      </c>
    </row>
    <row r="51" customFormat="false" ht="15" hidden="false" customHeight="false" outlineLevel="0" collapsed="false">
      <c r="A51" s="8" t="n">
        <v>39</v>
      </c>
      <c r="B51" s="13" t="n">
        <v>450000000</v>
      </c>
      <c r="C51" s="10" t="s">
        <v>57</v>
      </c>
      <c r="D51" s="10"/>
      <c r="E51" s="11" t="n">
        <f aca="false">IF(B51="","",MAX(0,B51-$B$6))</f>
        <v>450000000</v>
      </c>
      <c r="F51" s="12" t="s">
        <v>22</v>
      </c>
    </row>
    <row r="52" customFormat="false" ht="15" hidden="false" customHeight="false" outlineLevel="0" collapsed="false">
      <c r="A52" s="8" t="n">
        <v>40</v>
      </c>
      <c r="B52" s="13" t="n">
        <v>480000000</v>
      </c>
      <c r="C52" s="10" t="s">
        <v>58</v>
      </c>
      <c r="D52" s="10"/>
      <c r="E52" s="11" t="n">
        <f aca="false">IF(B52="","",MAX(0,B52-$B$6))</f>
        <v>480000000</v>
      </c>
      <c r="F52" s="12" t="s">
        <v>22</v>
      </c>
    </row>
    <row r="53" customFormat="false" ht="15" hidden="false" customHeight="false" outlineLevel="0" collapsed="false">
      <c r="A53" s="8" t="n">
        <v>41</v>
      </c>
      <c r="B53" s="13" t="n">
        <v>510000000</v>
      </c>
      <c r="C53" s="10" t="s">
        <v>59</v>
      </c>
      <c r="D53" s="10" t="s">
        <v>60</v>
      </c>
      <c r="E53" s="11" t="n">
        <f aca="false">IF(B53="","",MAX(0,B53-$B$6))</f>
        <v>510000000</v>
      </c>
      <c r="F53" s="12" t="s">
        <v>22</v>
      </c>
    </row>
    <row r="54" customFormat="false" ht="15" hidden="false" customHeight="false" outlineLevel="0" collapsed="false">
      <c r="A54" s="8" t="n">
        <v>42</v>
      </c>
      <c r="B54" s="13" t="n">
        <v>540000000</v>
      </c>
      <c r="C54" s="10" t="s">
        <v>61</v>
      </c>
      <c r="D54" s="10"/>
      <c r="E54" s="11" t="n">
        <f aca="false">IF(B54="","",MAX(0,B54-$B$6))</f>
        <v>540000000</v>
      </c>
      <c r="F54" s="12" t="s">
        <v>22</v>
      </c>
    </row>
    <row r="55" customFormat="false" ht="15" hidden="false" customHeight="false" outlineLevel="0" collapsed="false">
      <c r="A55" s="8" t="n">
        <v>43</v>
      </c>
      <c r="B55" s="13" t="n">
        <v>570000000</v>
      </c>
      <c r="C55" s="10" t="s">
        <v>62</v>
      </c>
      <c r="D55" s="10"/>
      <c r="E55" s="11" t="n">
        <f aca="false">IF(B55="","",MAX(0,B55-$B$6))</f>
        <v>570000000</v>
      </c>
      <c r="F55" s="12" t="s">
        <v>22</v>
      </c>
    </row>
    <row r="56" customFormat="false" ht="15" hidden="false" customHeight="false" outlineLevel="0" collapsed="false">
      <c r="A56" s="8" t="n">
        <v>44</v>
      </c>
      <c r="B56" s="13" t="n">
        <v>600000000</v>
      </c>
      <c r="C56" s="10" t="s">
        <v>63</v>
      </c>
      <c r="D56" s="10"/>
      <c r="E56" s="11" t="n">
        <f aca="false">IF(B56="","",MAX(0,B56-$B$6))</f>
        <v>600000000</v>
      </c>
      <c r="F56" s="12" t="s">
        <v>22</v>
      </c>
    </row>
    <row r="57" customFormat="false" ht="15" hidden="false" customHeight="false" outlineLevel="0" collapsed="false">
      <c r="A57" s="8" t="n">
        <v>45</v>
      </c>
      <c r="B57" s="13" t="n">
        <v>630000000</v>
      </c>
      <c r="C57" s="10" t="s">
        <v>64</v>
      </c>
      <c r="D57" s="10"/>
      <c r="E57" s="11" t="n">
        <f aca="false">IF(B57="","",MAX(0,B57-$B$6))</f>
        <v>630000000</v>
      </c>
      <c r="F57" s="12" t="s">
        <v>22</v>
      </c>
    </row>
    <row r="58" customFormat="false" ht="15" hidden="false" customHeight="false" outlineLevel="0" collapsed="false">
      <c r="A58" s="8" t="n">
        <v>46</v>
      </c>
      <c r="B58" s="13" t="n">
        <v>660000000</v>
      </c>
      <c r="C58" s="10" t="s">
        <v>65</v>
      </c>
      <c r="D58" s="10"/>
      <c r="E58" s="11" t="n">
        <f aca="false">IF(B58="","",MAX(0,B58-$B$6))</f>
        <v>660000000</v>
      </c>
      <c r="F58" s="12" t="s">
        <v>22</v>
      </c>
    </row>
    <row r="59" customFormat="false" ht="15" hidden="false" customHeight="false" outlineLevel="0" collapsed="false">
      <c r="A59" s="8" t="n">
        <v>47</v>
      </c>
      <c r="B59" s="13" t="n">
        <v>690000000</v>
      </c>
      <c r="C59" s="10" t="s">
        <v>66</v>
      </c>
      <c r="D59" s="10"/>
      <c r="E59" s="11" t="n">
        <f aca="false">IF(B59="","",MAX(0,B59-$B$6))</f>
        <v>690000000</v>
      </c>
      <c r="F59" s="12" t="s">
        <v>22</v>
      </c>
    </row>
    <row r="60" customFormat="false" ht="15" hidden="false" customHeight="false" outlineLevel="0" collapsed="false">
      <c r="A60" s="8" t="n">
        <v>48</v>
      </c>
      <c r="B60" s="13" t="n">
        <v>750000000</v>
      </c>
      <c r="C60" s="10" t="s">
        <v>67</v>
      </c>
      <c r="D60" s="10"/>
      <c r="E60" s="11" t="n">
        <f aca="false">IF(B60="","",MAX(0,B60-$B$6))</f>
        <v>750000000</v>
      </c>
      <c r="F60" s="12" t="s">
        <v>22</v>
      </c>
    </row>
    <row r="61" customFormat="false" ht="15" hidden="false" customHeight="false" outlineLevel="0" collapsed="false">
      <c r="A61" s="8" t="n">
        <v>49</v>
      </c>
      <c r="B61" s="13" t="n">
        <v>825000000</v>
      </c>
      <c r="C61" s="10" t="s">
        <v>68</v>
      </c>
      <c r="D61" s="10"/>
      <c r="E61" s="11" t="n">
        <f aca="false">IF(B61="","",MAX(0,B61-$B$6))</f>
        <v>825000000</v>
      </c>
      <c r="F61" s="12" t="s">
        <v>22</v>
      </c>
    </row>
    <row r="62" customFormat="false" ht="15" hidden="false" customHeight="false" outlineLevel="0" collapsed="false">
      <c r="A62" s="8" t="n">
        <v>50</v>
      </c>
      <c r="B62" s="13" t="n">
        <v>900000000</v>
      </c>
      <c r="C62" s="10" t="s">
        <v>69</v>
      </c>
      <c r="D62" s="10"/>
      <c r="E62" s="11" t="n">
        <f aca="false">IF(B62="","",MAX(0,B62-$B$6))</f>
        <v>900000000</v>
      </c>
      <c r="F62" s="12" t="s">
        <v>22</v>
      </c>
    </row>
    <row r="63" customFormat="false" ht="15" hidden="false" customHeight="false" outlineLevel="0" collapsed="false">
      <c r="A63" s="8" t="n">
        <v>51</v>
      </c>
      <c r="B63" s="13" t="n">
        <v>975000000</v>
      </c>
      <c r="C63" s="10" t="s">
        <v>70</v>
      </c>
      <c r="D63" s="10"/>
      <c r="E63" s="11" t="n">
        <f aca="false">IF(B63="","",MAX(0,B63-$B$6))</f>
        <v>975000000</v>
      </c>
      <c r="F63" s="12" t="s">
        <v>22</v>
      </c>
    </row>
    <row r="64" customFormat="false" ht="15" hidden="false" customHeight="false" outlineLevel="0" collapsed="false">
      <c r="A64" s="8" t="n">
        <v>52</v>
      </c>
      <c r="B64" s="13" t="n">
        <v>1050000000</v>
      </c>
      <c r="C64" s="10" t="s">
        <v>71</v>
      </c>
      <c r="D64" s="10"/>
      <c r="E64" s="11" t="n">
        <f aca="false">IF(B64="","",MAX(0,B64-$B$6))</f>
        <v>1050000000</v>
      </c>
      <c r="F64" s="12" t="s">
        <v>22</v>
      </c>
    </row>
    <row r="65" customFormat="false" ht="15" hidden="false" customHeight="false" outlineLevel="0" collapsed="false">
      <c r="A65" s="8" t="n">
        <v>53</v>
      </c>
      <c r="B65" s="13" t="n">
        <v>1125000000</v>
      </c>
      <c r="C65" s="10" t="s">
        <v>72</v>
      </c>
      <c r="D65" s="10"/>
      <c r="E65" s="11" t="n">
        <f aca="false">IF(B65="","",MAX(0,B65-$B$6))</f>
        <v>1125000000</v>
      </c>
      <c r="F65" s="12" t="s">
        <v>22</v>
      </c>
    </row>
    <row r="66" customFormat="false" ht="15" hidden="false" customHeight="false" outlineLevel="0" collapsed="false">
      <c r="A66" s="8" t="n">
        <v>54</v>
      </c>
      <c r="B66" s="13" t="n">
        <v>1200000000</v>
      </c>
      <c r="C66" s="10" t="s">
        <v>73</v>
      </c>
      <c r="D66" s="10"/>
      <c r="E66" s="11" t="n">
        <f aca="false">IF(B66="","",MAX(0,B66-$B$6))</f>
        <v>1200000000</v>
      </c>
      <c r="F66" s="12" t="s">
        <v>22</v>
      </c>
    </row>
    <row r="67" customFormat="false" ht="15" hidden="false" customHeight="false" outlineLevel="0" collapsed="false">
      <c r="A67" s="8" t="n">
        <v>55</v>
      </c>
      <c r="B67" s="13" t="n">
        <v>1350000000</v>
      </c>
      <c r="C67" s="10" t="s">
        <v>74</v>
      </c>
      <c r="D67" s="10"/>
      <c r="E67" s="11" t="n">
        <f aca="false">IF(B67="","",MAX(0,B67-$B$6))</f>
        <v>1350000000</v>
      </c>
      <c r="F67" s="12" t="s">
        <v>22</v>
      </c>
    </row>
    <row r="68" customFormat="false" ht="15" hidden="false" customHeight="false" outlineLevel="0" collapsed="false">
      <c r="A68" s="8" t="n">
        <v>56</v>
      </c>
      <c r="B68" s="13" t="n">
        <v>1500000000</v>
      </c>
      <c r="C68" s="10" t="s">
        <v>75</v>
      </c>
      <c r="D68" s="10"/>
      <c r="E68" s="11" t="n">
        <f aca="false">IF(B68="","",MAX(0,B68-$B$6))</f>
        <v>1500000000</v>
      </c>
      <c r="F68" s="12" t="s">
        <v>22</v>
      </c>
    </row>
    <row r="69" customFormat="false" ht="15" hidden="false" customHeight="false" outlineLevel="0" collapsed="false">
      <c r="A69" s="8" t="n">
        <v>57</v>
      </c>
      <c r="B69" s="13" t="n">
        <v>1650000000</v>
      </c>
      <c r="C69" s="10" t="s">
        <v>76</v>
      </c>
      <c r="D69" s="10"/>
      <c r="E69" s="11" t="n">
        <f aca="false">IF(B69="","",MAX(0,B69-$B$6))</f>
        <v>1650000000</v>
      </c>
      <c r="F69" s="12" t="s">
        <v>22</v>
      </c>
    </row>
    <row r="70" customFormat="false" ht="15" hidden="false" customHeight="false" outlineLevel="0" collapsed="false">
      <c r="A70" s="8" t="n">
        <v>58</v>
      </c>
      <c r="B70" s="13" t="n">
        <v>1875000000</v>
      </c>
      <c r="C70" s="10" t="s">
        <v>77</v>
      </c>
      <c r="D70" s="10"/>
      <c r="E70" s="11" t="n">
        <f aca="false">IF(B70="","",MAX(0,B70-$B$6))</f>
        <v>1875000000</v>
      </c>
      <c r="F70" s="12" t="s">
        <v>22</v>
      </c>
    </row>
    <row r="71" customFormat="false" ht="15" hidden="false" customHeight="false" outlineLevel="0" collapsed="false">
      <c r="A71" s="8" t="n">
        <v>59</v>
      </c>
      <c r="B71" s="13" t="n">
        <v>2250000000</v>
      </c>
      <c r="C71" s="10" t="s">
        <v>78</v>
      </c>
      <c r="D71" s="10"/>
      <c r="E71" s="11" t="n">
        <f aca="false">IF(B71="","",MAX(0,B71-$B$6))</f>
        <v>2250000000</v>
      </c>
      <c r="F71" s="12" t="s">
        <v>22</v>
      </c>
    </row>
    <row r="72" customFormat="false" ht="15" hidden="false" customHeight="false" outlineLevel="0" collapsed="false">
      <c r="A72" s="8" t="n">
        <v>60</v>
      </c>
      <c r="B72" s="13" t="n">
        <v>2625000000</v>
      </c>
      <c r="C72" s="10" t="s">
        <v>79</v>
      </c>
      <c r="D72" s="10"/>
      <c r="E72" s="11" t="n">
        <f aca="false">IF(B72="","",MAX(0,B72-$B$6))</f>
        <v>2625000000</v>
      </c>
      <c r="F72" s="12" t="s">
        <v>22</v>
      </c>
    </row>
    <row r="73" customFormat="false" ht="15" hidden="false" customHeight="false" outlineLevel="0" collapsed="false">
      <c r="A73" s="8" t="n">
        <v>61</v>
      </c>
      <c r="B73" s="13" t="n">
        <v>3000000000</v>
      </c>
      <c r="C73" s="10" t="s">
        <v>80</v>
      </c>
      <c r="D73" s="10"/>
      <c r="E73" s="11" t="n">
        <f aca="false">IF(B73="","",MAX(0,B73-$B$6))</f>
        <v>3000000000</v>
      </c>
      <c r="F73" s="12" t="s">
        <v>22</v>
      </c>
    </row>
    <row r="74" customFormat="false" ht="15" hidden="false" customHeight="false" outlineLevel="0" collapsed="false">
      <c r="A74" s="8" t="n">
        <v>62</v>
      </c>
      <c r="B74" s="13" t="n">
        <v>3375000000</v>
      </c>
      <c r="C74" s="10" t="s">
        <v>81</v>
      </c>
      <c r="D74" s="10"/>
      <c r="E74" s="11" t="n">
        <f aca="false">IF(B74="","",MAX(0,B74-$B$6))</f>
        <v>3375000000</v>
      </c>
      <c r="F74" s="12" t="s">
        <v>22</v>
      </c>
    </row>
    <row r="75" customFormat="false" ht="15" hidden="false" customHeight="false" outlineLevel="0" collapsed="false">
      <c r="A75" s="8" t="n">
        <v>63</v>
      </c>
      <c r="B75" s="13" t="n">
        <v>3750000000</v>
      </c>
      <c r="C75" s="10" t="s">
        <v>82</v>
      </c>
      <c r="D75" s="10"/>
      <c r="E75" s="11" t="n">
        <f aca="false">IF(B75="","",MAX(0,B75-$B$6))</f>
        <v>3750000000</v>
      </c>
      <c r="F75" s="12" t="s">
        <v>22</v>
      </c>
    </row>
    <row r="76" customFormat="false" ht="15" hidden="false" customHeight="false" outlineLevel="0" collapsed="false">
      <c r="A76" s="8" t="n">
        <v>64</v>
      </c>
      <c r="B76" s="13" t="n">
        <v>4125000000</v>
      </c>
      <c r="C76" s="10" t="s">
        <v>83</v>
      </c>
      <c r="D76" s="10"/>
      <c r="E76" s="11" t="n">
        <f aca="false">IF(B76="","",MAX(0,B76-$B$6))</f>
        <v>4125000000</v>
      </c>
      <c r="F76" s="12" t="s">
        <v>22</v>
      </c>
    </row>
    <row r="77" customFormat="false" ht="15" hidden="false" customHeight="false" outlineLevel="0" collapsed="false">
      <c r="A77" s="3"/>
    </row>
  </sheetData>
  <conditionalFormatting sqref="F13:F76">
    <cfRule type="cellIs" priority="2" operator="equal" aboveAverage="0" equalAverage="0" bottom="0" percent="0" rank="0" text="" dxfId="0">
      <formula>"Claimed"</formula>
    </cfRule>
    <cfRule type="expression" priority="3" aboveAverage="0" equalAverage="0" bottom="0" percent="0" rank="0" text="" dxfId="1">
      <formula>AND($B13&lt;&gt;"",$B13&lt;=$B$6,$F13&lt;&gt;"Claimed")</formula>
    </cfRule>
  </conditionalFormatting>
  <dataValidations count="1">
    <dataValidation allowBlank="false" errorStyle="stop" operator="between" showDropDown="false" showErrorMessage="false" showInputMessage="false" sqref="F13:F76" type="list">
      <formula1>"Claimed,Not claimed"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8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7" t="s">
        <v>86</v>
      </c>
      <c r="B4" s="7" t="s">
        <v>87</v>
      </c>
      <c r="C4" s="7" t="s">
        <v>88</v>
      </c>
      <c r="D4" s="7" t="s">
        <v>89</v>
      </c>
      <c r="E4" s="7" t="s">
        <v>90</v>
      </c>
      <c r="F4" s="7" t="s">
        <v>91</v>
      </c>
      <c r="G4" s="7" t="s">
        <v>92</v>
      </c>
      <c r="H4" s="7" t="s">
        <v>93</v>
      </c>
      <c r="I4" s="7" t="s">
        <v>94</v>
      </c>
      <c r="J4" s="7" t="s">
        <v>95</v>
      </c>
    </row>
    <row r="5" customFormat="false" ht="15" hidden="false" customHeight="false" outlineLevel="0" collapsed="false">
      <c r="A5" s="10" t="s">
        <v>96</v>
      </c>
      <c r="B5" s="10" t="s">
        <v>97</v>
      </c>
      <c r="C5" s="13" t="n">
        <v>4000000</v>
      </c>
      <c r="D5" s="13" t="n">
        <v>40000000</v>
      </c>
      <c r="E5" s="9" t="n">
        <v>0</v>
      </c>
      <c r="F5" s="14" t="n">
        <f aca="false">IF(ISNUMBER(D5),MAX(0,D5-E5),0)</f>
        <v>40000000</v>
      </c>
      <c r="G5" s="14" t="n">
        <f aca="false">IF(ISNUMBER(D5),ROUNDUP(D5/C5,0),"No limit")</f>
        <v>10</v>
      </c>
      <c r="H5" s="14" t="n">
        <f aca="false">IFERROR(INT(E5/C5),0)</f>
        <v>0</v>
      </c>
      <c r="I5" s="14" t="n">
        <f aca="false">IFERROR(ROUNDUP(F5/C5,0),0)</f>
        <v>10</v>
      </c>
      <c r="J5" s="12" t="s">
        <v>98</v>
      </c>
    </row>
    <row r="6" customFormat="false" ht="15" hidden="false" customHeight="false" outlineLevel="0" collapsed="false">
      <c r="A6" s="10" t="s">
        <v>96</v>
      </c>
      <c r="B6" s="10" t="s">
        <v>99</v>
      </c>
      <c r="C6" s="13" t="n">
        <v>4000000</v>
      </c>
      <c r="D6" s="13" t="n">
        <v>40000000</v>
      </c>
      <c r="E6" s="9" t="n">
        <v>0</v>
      </c>
      <c r="F6" s="14" t="n">
        <f aca="false">IF(ISNUMBER(D6),MAX(0,D6-E6),0)</f>
        <v>40000000</v>
      </c>
      <c r="G6" s="14" t="n">
        <f aca="false">IF(ISNUMBER(D6),ROUNDUP(D6/C6,0),"No limit")</f>
        <v>10</v>
      </c>
      <c r="H6" s="14" t="n">
        <f aca="false">IFERROR(INT(E6/C6),0)</f>
        <v>0</v>
      </c>
      <c r="I6" s="14" t="n">
        <f aca="false">IFERROR(ROUNDUP(F6/C6,0),0)</f>
        <v>10</v>
      </c>
      <c r="J6" s="12" t="s">
        <v>98</v>
      </c>
    </row>
    <row r="7" customFormat="false" ht="15" hidden="false" customHeight="false" outlineLevel="0" collapsed="false">
      <c r="A7" s="10" t="s">
        <v>100</v>
      </c>
      <c r="B7" s="10" t="s">
        <v>101</v>
      </c>
      <c r="C7" s="13" t="n">
        <v>1</v>
      </c>
      <c r="D7" s="13" t="n">
        <v>1000000000</v>
      </c>
      <c r="E7" s="9" t="n">
        <v>0</v>
      </c>
      <c r="F7" s="14" t="n">
        <f aca="false">IF(ISNUMBER(D7),MAX(0,D7-E7),0)</f>
        <v>1000000000</v>
      </c>
      <c r="G7" s="14" t="n">
        <f aca="false">IF(ISNUMBER(D7),ROUNDUP(D7/C7,0),"No limit")</f>
        <v>1000000000</v>
      </c>
      <c r="H7" s="14" t="n">
        <f aca="false">IFERROR(INT(E7/C7),0)</f>
        <v>0</v>
      </c>
      <c r="I7" s="14" t="n">
        <f aca="false">IFERROR(ROUNDUP(F7/C7,0),0)</f>
        <v>1000000000</v>
      </c>
      <c r="J7" s="12" t="s">
        <v>102</v>
      </c>
    </row>
    <row r="8" customFormat="false" ht="15" hidden="false" customHeight="false" outlineLevel="0" collapsed="false">
      <c r="A8" s="10" t="s">
        <v>100</v>
      </c>
      <c r="B8" s="10" t="s">
        <v>103</v>
      </c>
      <c r="C8" s="13" t="n">
        <v>4000</v>
      </c>
      <c r="D8" s="13" t="n">
        <v>1000000000</v>
      </c>
      <c r="E8" s="9" t="n">
        <v>0</v>
      </c>
      <c r="F8" s="14" t="n">
        <f aca="false">IF(ISNUMBER(D8),MAX(0,D8-E8),0)</f>
        <v>1000000000</v>
      </c>
      <c r="G8" s="14" t="n">
        <f aca="false">IF(ISNUMBER(D8),ROUNDUP(D8/C8,0),"No limit")</f>
        <v>250000</v>
      </c>
      <c r="H8" s="14" t="n">
        <f aca="false">IFERROR(INT(E8/C8),0)</f>
        <v>0</v>
      </c>
      <c r="I8" s="14" t="n">
        <f aca="false">IFERROR(ROUNDUP(F8/C8,0),0)</f>
        <v>250000</v>
      </c>
      <c r="J8" s="12" t="s">
        <v>102</v>
      </c>
    </row>
    <row r="9" customFormat="false" ht="15" hidden="false" customHeight="false" outlineLevel="0" collapsed="false">
      <c r="A9" s="10" t="s">
        <v>104</v>
      </c>
      <c r="B9" s="10" t="s">
        <v>105</v>
      </c>
      <c r="C9" s="13" t="n">
        <v>3000000</v>
      </c>
      <c r="D9" s="13" t="n">
        <v>15000000</v>
      </c>
      <c r="E9" s="9" t="n">
        <v>0</v>
      </c>
      <c r="F9" s="14" t="n">
        <f aca="false">IF(ISNUMBER(D9),MAX(0,D9-E9),0)</f>
        <v>15000000</v>
      </c>
      <c r="G9" s="14" t="n">
        <f aca="false">IF(ISNUMBER(D9),ROUNDUP(D9/C9,0),"No limit")</f>
        <v>5</v>
      </c>
      <c r="H9" s="14" t="n">
        <f aca="false">IFERROR(INT(E9/C9),0)</f>
        <v>0</v>
      </c>
      <c r="I9" s="14" t="n">
        <f aca="false">IFERROR(ROUNDUP(F9/C9,0),0)</f>
        <v>5</v>
      </c>
      <c r="J9" s="12" t="s">
        <v>98</v>
      </c>
    </row>
    <row r="10" customFormat="false" ht="15" hidden="false" customHeight="false" outlineLevel="0" collapsed="false">
      <c r="A10" s="10" t="s">
        <v>104</v>
      </c>
      <c r="B10" s="10" t="s">
        <v>106</v>
      </c>
      <c r="C10" s="13" t="n">
        <v>8000000</v>
      </c>
      <c r="D10" s="13" t="n">
        <v>40000000</v>
      </c>
      <c r="E10" s="9" t="n">
        <v>0</v>
      </c>
      <c r="F10" s="14" t="n">
        <f aca="false">IF(ISNUMBER(D10),MAX(0,D10-E10),0)</f>
        <v>40000000</v>
      </c>
      <c r="G10" s="14" t="n">
        <f aca="false">IF(ISNUMBER(D10),ROUNDUP(D10/C10,0),"No limit")</f>
        <v>5</v>
      </c>
      <c r="H10" s="14" t="n">
        <f aca="false">IFERROR(INT(E10/C10),0)</f>
        <v>0</v>
      </c>
      <c r="I10" s="14" t="n">
        <f aca="false">IFERROR(ROUNDUP(F10/C10,0),0)</f>
        <v>5</v>
      </c>
      <c r="J10" s="12" t="s">
        <v>98</v>
      </c>
    </row>
    <row r="11" customFormat="false" ht="15" hidden="false" customHeight="false" outlineLevel="0" collapsed="false">
      <c r="A11" s="10" t="s">
        <v>107</v>
      </c>
      <c r="B11" s="10" t="s">
        <v>108</v>
      </c>
      <c r="C11" s="13" t="n">
        <v>7000000</v>
      </c>
      <c r="D11" s="13" t="n">
        <v>35000000</v>
      </c>
      <c r="E11" s="9" t="n">
        <v>0</v>
      </c>
      <c r="F11" s="14" t="n">
        <f aca="false">IF(ISNUMBER(D11),MAX(0,D11-E11),0)</f>
        <v>35000000</v>
      </c>
      <c r="G11" s="14" t="n">
        <f aca="false">IF(ISNUMBER(D11),ROUNDUP(D11/C11,0),"No limit")</f>
        <v>5</v>
      </c>
      <c r="H11" s="14" t="n">
        <f aca="false">IFERROR(INT(E11/C11),0)</f>
        <v>0</v>
      </c>
      <c r="I11" s="14" t="n">
        <f aca="false">IFERROR(ROUNDUP(F11/C11,0),0)</f>
        <v>5</v>
      </c>
      <c r="J11" s="12" t="s">
        <v>98</v>
      </c>
    </row>
    <row r="12" customFormat="false" ht="15" hidden="false" customHeight="false" outlineLevel="0" collapsed="false">
      <c r="A12" s="10" t="s">
        <v>107</v>
      </c>
      <c r="B12" s="10" t="s">
        <v>109</v>
      </c>
      <c r="C12" s="13" t="n">
        <v>17000000</v>
      </c>
      <c r="D12" s="13" t="n">
        <v>85000000</v>
      </c>
      <c r="E12" s="9" t="n">
        <v>0</v>
      </c>
      <c r="F12" s="14" t="n">
        <f aca="false">IF(ISNUMBER(D12),MAX(0,D12-E12),0)</f>
        <v>85000000</v>
      </c>
      <c r="G12" s="14" t="n">
        <f aca="false">IF(ISNUMBER(D12),ROUNDUP(D12/C12,0),"No limit")</f>
        <v>5</v>
      </c>
      <c r="H12" s="14" t="n">
        <f aca="false">IFERROR(INT(E12/C12),0)</f>
        <v>0</v>
      </c>
      <c r="I12" s="14" t="n">
        <f aca="false">IFERROR(ROUNDUP(F12/C12,0),0)</f>
        <v>5</v>
      </c>
      <c r="J12" s="12" t="s">
        <v>98</v>
      </c>
    </row>
    <row r="13" customFormat="false" ht="15" hidden="false" customHeight="false" outlineLevel="0" collapsed="false">
      <c r="A13" s="10" t="s">
        <v>107</v>
      </c>
      <c r="B13" s="10" t="s">
        <v>110</v>
      </c>
      <c r="C13" s="13" t="n">
        <v>7000000</v>
      </c>
      <c r="D13" s="13" t="n">
        <v>35000000</v>
      </c>
      <c r="E13" s="9" t="n">
        <v>0</v>
      </c>
      <c r="F13" s="14" t="n">
        <f aca="false">IF(ISNUMBER(D13),MAX(0,D13-E13),0)</f>
        <v>35000000</v>
      </c>
      <c r="G13" s="14" t="n">
        <f aca="false">IF(ISNUMBER(D13),ROUNDUP(D13/C13,0),"No limit")</f>
        <v>5</v>
      </c>
      <c r="H13" s="14" t="n">
        <f aca="false">IFERROR(INT(E13/C13),0)</f>
        <v>0</v>
      </c>
      <c r="I13" s="14" t="n">
        <f aca="false">IFERROR(ROUNDUP(F13/C13,0),0)</f>
        <v>5</v>
      </c>
      <c r="J13" s="12" t="s">
        <v>98</v>
      </c>
    </row>
    <row r="14" customFormat="false" ht="15" hidden="false" customHeight="false" outlineLevel="0" collapsed="false">
      <c r="A14" s="10" t="s">
        <v>107</v>
      </c>
      <c r="B14" s="10" t="s">
        <v>111</v>
      </c>
      <c r="C14" s="13" t="n">
        <v>17000000</v>
      </c>
      <c r="D14" s="13" t="n">
        <v>85000000</v>
      </c>
      <c r="E14" s="9" t="n">
        <v>0</v>
      </c>
      <c r="F14" s="14" t="n">
        <f aca="false">IF(ISNUMBER(D14),MAX(0,D14-E14),0)</f>
        <v>85000000</v>
      </c>
      <c r="G14" s="14" t="n">
        <f aca="false">IF(ISNUMBER(D14),ROUNDUP(D14/C14,0),"No limit")</f>
        <v>5</v>
      </c>
      <c r="H14" s="14" t="n">
        <f aca="false">IFERROR(INT(E14/C14),0)</f>
        <v>0</v>
      </c>
      <c r="I14" s="14" t="n">
        <f aca="false">IFERROR(ROUNDUP(F14/C14,0),0)</f>
        <v>5</v>
      </c>
      <c r="J14" s="12" t="s">
        <v>98</v>
      </c>
    </row>
    <row r="15" customFormat="false" ht="15" hidden="false" customHeight="false" outlineLevel="0" collapsed="false">
      <c r="A15" s="10" t="s">
        <v>107</v>
      </c>
      <c r="B15" s="10" t="s">
        <v>112</v>
      </c>
      <c r="C15" s="13" t="n">
        <v>7000000</v>
      </c>
      <c r="D15" s="13" t="n">
        <v>35000000</v>
      </c>
      <c r="E15" s="9" t="n">
        <v>0</v>
      </c>
      <c r="F15" s="14" t="n">
        <f aca="false">IF(ISNUMBER(D15),MAX(0,D15-E15),0)</f>
        <v>35000000</v>
      </c>
      <c r="G15" s="14" t="n">
        <f aca="false">IF(ISNUMBER(D15),ROUNDUP(D15/C15,0),"No limit")</f>
        <v>5</v>
      </c>
      <c r="H15" s="14" t="n">
        <f aca="false">IFERROR(INT(E15/C15),0)</f>
        <v>0</v>
      </c>
      <c r="I15" s="14" t="n">
        <f aca="false">IFERROR(ROUNDUP(F15/C15,0),0)</f>
        <v>5</v>
      </c>
      <c r="J15" s="12" t="s">
        <v>98</v>
      </c>
    </row>
    <row r="16" customFormat="false" ht="15" hidden="false" customHeight="false" outlineLevel="0" collapsed="false">
      <c r="A16" s="10" t="s">
        <v>107</v>
      </c>
      <c r="B16" s="10" t="s">
        <v>113</v>
      </c>
      <c r="C16" s="13" t="n">
        <v>17000000</v>
      </c>
      <c r="D16" s="13" t="n">
        <v>85000000</v>
      </c>
      <c r="E16" s="9" t="n">
        <v>0</v>
      </c>
      <c r="F16" s="14" t="n">
        <f aca="false">IF(ISNUMBER(D16),MAX(0,D16-E16),0)</f>
        <v>85000000</v>
      </c>
      <c r="G16" s="14" t="n">
        <f aca="false">IF(ISNUMBER(D16),ROUNDUP(D16/C16,0),"No limit")</f>
        <v>5</v>
      </c>
      <c r="H16" s="14" t="n">
        <f aca="false">IFERROR(INT(E16/C16),0)</f>
        <v>0</v>
      </c>
      <c r="I16" s="14" t="n">
        <f aca="false">IFERROR(ROUNDUP(F16/C16,0),0)</f>
        <v>5</v>
      </c>
      <c r="J16" s="12" t="s">
        <v>98</v>
      </c>
    </row>
    <row r="17" customFormat="false" ht="15" hidden="false" customHeight="false" outlineLevel="0" collapsed="false">
      <c r="A17" s="10" t="s">
        <v>107</v>
      </c>
      <c r="B17" s="10" t="s">
        <v>114</v>
      </c>
      <c r="C17" s="13" t="n">
        <v>3000000</v>
      </c>
      <c r="D17" s="13" t="n">
        <v>15000000</v>
      </c>
      <c r="E17" s="9" t="n">
        <v>0</v>
      </c>
      <c r="F17" s="14" t="n">
        <f aca="false">IF(ISNUMBER(D17),MAX(0,D17-E17),0)</f>
        <v>15000000</v>
      </c>
      <c r="G17" s="14" t="n">
        <f aca="false">IF(ISNUMBER(D17),ROUNDUP(D17/C17,0),"No limit")</f>
        <v>5</v>
      </c>
      <c r="H17" s="14" t="n">
        <f aca="false">IFERROR(INT(E17/C17),0)</f>
        <v>0</v>
      </c>
      <c r="I17" s="14" t="n">
        <f aca="false">IFERROR(ROUNDUP(F17/C17,0),0)</f>
        <v>5</v>
      </c>
      <c r="J17" s="12" t="s">
        <v>98</v>
      </c>
    </row>
    <row r="18" customFormat="false" ht="15" hidden="false" customHeight="false" outlineLevel="0" collapsed="false">
      <c r="A18" s="10" t="s">
        <v>107</v>
      </c>
      <c r="B18" s="10" t="s">
        <v>115</v>
      </c>
      <c r="C18" s="13" t="n">
        <v>8000000</v>
      </c>
      <c r="D18" s="13" t="n">
        <v>40000000</v>
      </c>
      <c r="E18" s="9" t="n">
        <v>0</v>
      </c>
      <c r="F18" s="14" t="n">
        <f aca="false">IF(ISNUMBER(D18),MAX(0,D18-E18),0)</f>
        <v>40000000</v>
      </c>
      <c r="G18" s="14" t="n">
        <f aca="false">IF(ISNUMBER(D18),ROUNDUP(D18/C18,0),"No limit")</f>
        <v>5</v>
      </c>
      <c r="H18" s="14" t="n">
        <f aca="false">IFERROR(INT(E18/C18),0)</f>
        <v>0</v>
      </c>
      <c r="I18" s="14" t="n">
        <f aca="false">IFERROR(ROUNDUP(F18/C18,0),0)</f>
        <v>5</v>
      </c>
      <c r="J18" s="12" t="s">
        <v>98</v>
      </c>
    </row>
    <row r="19" customFormat="false" ht="15" hidden="false" customHeight="false" outlineLevel="0" collapsed="false">
      <c r="A19" s="10" t="s">
        <v>107</v>
      </c>
      <c r="B19" s="10" t="s">
        <v>116</v>
      </c>
      <c r="C19" s="13" t="n">
        <v>3000000</v>
      </c>
      <c r="D19" s="13" t="n">
        <v>15000000</v>
      </c>
      <c r="E19" s="9" t="n">
        <v>0</v>
      </c>
      <c r="F19" s="14" t="n">
        <f aca="false">IF(ISNUMBER(D19),MAX(0,D19-E19),0)</f>
        <v>15000000</v>
      </c>
      <c r="G19" s="14" t="n">
        <f aca="false">IF(ISNUMBER(D19),ROUNDUP(D19/C19,0),"No limit")</f>
        <v>5</v>
      </c>
      <c r="H19" s="14" t="n">
        <f aca="false">IFERROR(INT(E19/C19),0)</f>
        <v>0</v>
      </c>
      <c r="I19" s="14" t="n">
        <f aca="false">IFERROR(ROUNDUP(F19/C19,0),0)</f>
        <v>5</v>
      </c>
      <c r="J19" s="12" t="s">
        <v>98</v>
      </c>
    </row>
    <row r="20" customFormat="false" ht="15" hidden="false" customHeight="false" outlineLevel="0" collapsed="false">
      <c r="A20" s="10" t="s">
        <v>107</v>
      </c>
      <c r="B20" s="10" t="s">
        <v>117</v>
      </c>
      <c r="C20" s="13" t="n">
        <v>8000000</v>
      </c>
      <c r="D20" s="13" t="n">
        <v>40000000</v>
      </c>
      <c r="E20" s="9" t="n">
        <v>0</v>
      </c>
      <c r="F20" s="14" t="n">
        <f aca="false">IF(ISNUMBER(D20),MAX(0,D20-E20),0)</f>
        <v>40000000</v>
      </c>
      <c r="G20" s="14" t="n">
        <f aca="false">IF(ISNUMBER(D20),ROUNDUP(D20/C20,0),"No limit")</f>
        <v>5</v>
      </c>
      <c r="H20" s="14" t="n">
        <f aca="false">IFERROR(INT(E20/C20),0)</f>
        <v>0</v>
      </c>
      <c r="I20" s="14" t="n">
        <f aca="false">IFERROR(ROUNDUP(F20/C20,0),0)</f>
        <v>5</v>
      </c>
      <c r="J20" s="12" t="s">
        <v>98</v>
      </c>
    </row>
    <row r="21" customFormat="false" ht="15" hidden="false" customHeight="false" outlineLevel="0" collapsed="false">
      <c r="A21" s="10" t="s">
        <v>107</v>
      </c>
      <c r="B21" s="10" t="s">
        <v>118</v>
      </c>
      <c r="C21" s="13" t="n">
        <v>3000000</v>
      </c>
      <c r="D21" s="13" t="n">
        <v>15000000</v>
      </c>
      <c r="E21" s="9" t="n">
        <v>0</v>
      </c>
      <c r="F21" s="14" t="n">
        <f aca="false">IF(ISNUMBER(D21),MAX(0,D21-E21),0)</f>
        <v>15000000</v>
      </c>
      <c r="G21" s="14" t="n">
        <f aca="false">IF(ISNUMBER(D21),ROUNDUP(D21/C21,0),"No limit")</f>
        <v>5</v>
      </c>
      <c r="H21" s="14" t="n">
        <f aca="false">IFERROR(INT(E21/C21),0)</f>
        <v>0</v>
      </c>
      <c r="I21" s="14" t="n">
        <f aca="false">IFERROR(ROUNDUP(F21/C21,0),0)</f>
        <v>5</v>
      </c>
      <c r="J21" s="12" t="s">
        <v>98</v>
      </c>
    </row>
    <row r="22" customFormat="false" ht="15" hidden="false" customHeight="false" outlineLevel="0" collapsed="false">
      <c r="A22" s="10" t="s">
        <v>107</v>
      </c>
      <c r="B22" s="10" t="s">
        <v>119</v>
      </c>
      <c r="C22" s="13" t="n">
        <v>8000000</v>
      </c>
      <c r="D22" s="13" t="n">
        <v>40000000</v>
      </c>
      <c r="E22" s="9" t="n">
        <v>0</v>
      </c>
      <c r="F22" s="14" t="n">
        <f aca="false">IF(ISNUMBER(D22),MAX(0,D22-E22),0)</f>
        <v>40000000</v>
      </c>
      <c r="G22" s="14" t="n">
        <f aca="false">IF(ISNUMBER(D22),ROUNDUP(D22/C22,0),"No limit")</f>
        <v>5</v>
      </c>
      <c r="H22" s="14" t="n">
        <f aca="false">IFERROR(INT(E22/C22),0)</f>
        <v>0</v>
      </c>
      <c r="I22" s="14" t="n">
        <f aca="false">IFERROR(ROUNDUP(F22/C22,0),0)</f>
        <v>5</v>
      </c>
      <c r="J22" s="12" t="s">
        <v>98</v>
      </c>
    </row>
    <row r="23" customFormat="false" ht="15" hidden="false" customHeight="false" outlineLevel="0" collapsed="false">
      <c r="A23" s="10" t="s">
        <v>107</v>
      </c>
      <c r="B23" s="10" t="s">
        <v>120</v>
      </c>
      <c r="C23" s="13" t="n">
        <v>3000000</v>
      </c>
      <c r="D23" s="13" t="n">
        <v>15000000</v>
      </c>
      <c r="E23" s="9" t="n">
        <v>0</v>
      </c>
      <c r="F23" s="14" t="n">
        <f aca="false">IF(ISNUMBER(D23),MAX(0,D23-E23),0)</f>
        <v>15000000</v>
      </c>
      <c r="G23" s="14" t="n">
        <f aca="false">IF(ISNUMBER(D23),ROUNDUP(D23/C23,0),"No limit")</f>
        <v>5</v>
      </c>
      <c r="H23" s="14" t="n">
        <f aca="false">IFERROR(INT(E23/C23),0)</f>
        <v>0</v>
      </c>
      <c r="I23" s="14" t="n">
        <f aca="false">IFERROR(ROUNDUP(F23/C23,0),0)</f>
        <v>5</v>
      </c>
      <c r="J23" s="12" t="s">
        <v>98</v>
      </c>
    </row>
    <row r="24" customFormat="false" ht="15" hidden="false" customHeight="false" outlineLevel="0" collapsed="false">
      <c r="A24" s="10" t="s">
        <v>107</v>
      </c>
      <c r="B24" s="10" t="s">
        <v>121</v>
      </c>
      <c r="C24" s="13" t="n">
        <v>8000000</v>
      </c>
      <c r="D24" s="13" t="n">
        <v>40000000</v>
      </c>
      <c r="E24" s="9" t="n">
        <v>0</v>
      </c>
      <c r="F24" s="14" t="n">
        <f aca="false">IF(ISNUMBER(D24),MAX(0,D24-E24),0)</f>
        <v>40000000</v>
      </c>
      <c r="G24" s="14" t="n">
        <f aca="false">IF(ISNUMBER(D24),ROUNDUP(D24/C24,0),"No limit")</f>
        <v>5</v>
      </c>
      <c r="H24" s="14" t="n">
        <f aca="false">IFERROR(INT(E24/C24),0)</f>
        <v>0</v>
      </c>
      <c r="I24" s="14" t="n">
        <f aca="false">IFERROR(ROUNDUP(F24/C24,0),0)</f>
        <v>5</v>
      </c>
      <c r="J24" s="12" t="s">
        <v>98</v>
      </c>
    </row>
    <row r="25" customFormat="false" ht="15" hidden="false" customHeight="false" outlineLevel="0" collapsed="false">
      <c r="A25" s="10" t="s">
        <v>107</v>
      </c>
      <c r="B25" s="10" t="s">
        <v>122</v>
      </c>
      <c r="C25" s="13" t="n">
        <v>8000000</v>
      </c>
      <c r="D25" s="13" t="n">
        <v>40000000</v>
      </c>
      <c r="E25" s="9" t="n">
        <v>0</v>
      </c>
      <c r="F25" s="14" t="n">
        <f aca="false">IF(ISNUMBER(D25),MAX(0,D25-E25),0)</f>
        <v>40000000</v>
      </c>
      <c r="G25" s="14" t="n">
        <f aca="false">IF(ISNUMBER(D25),ROUNDUP(D25/C25,0),"No limit")</f>
        <v>5</v>
      </c>
      <c r="H25" s="14" t="n">
        <f aca="false">IFERROR(INT(E25/C25),0)</f>
        <v>0</v>
      </c>
      <c r="I25" s="14" t="n">
        <f aca="false">IFERROR(ROUNDUP(F25/C25,0),0)</f>
        <v>5</v>
      </c>
      <c r="J25" s="12" t="s">
        <v>98</v>
      </c>
    </row>
    <row r="26" customFormat="false" ht="15" hidden="false" customHeight="false" outlineLevel="0" collapsed="false">
      <c r="A26" s="10" t="s">
        <v>107</v>
      </c>
      <c r="B26" s="10" t="s">
        <v>123</v>
      </c>
      <c r="C26" s="13" t="n">
        <v>17000000</v>
      </c>
      <c r="D26" s="13" t="n">
        <v>85000000</v>
      </c>
      <c r="E26" s="9" t="n">
        <v>0</v>
      </c>
      <c r="F26" s="14" t="n">
        <f aca="false">IF(ISNUMBER(D26),MAX(0,D26-E26),0)</f>
        <v>85000000</v>
      </c>
      <c r="G26" s="14" t="n">
        <f aca="false">IF(ISNUMBER(D26),ROUNDUP(D26/C26,0),"No limit")</f>
        <v>5</v>
      </c>
      <c r="H26" s="14" t="n">
        <f aca="false">IFERROR(INT(E26/C26),0)</f>
        <v>0</v>
      </c>
      <c r="I26" s="14" t="n">
        <f aca="false">IFERROR(ROUNDUP(F26/C26,0),0)</f>
        <v>5</v>
      </c>
      <c r="J26" s="12" t="s">
        <v>98</v>
      </c>
    </row>
    <row r="27" customFormat="false" ht="15" hidden="false" customHeight="false" outlineLevel="0" collapsed="false">
      <c r="A27" s="10" t="s">
        <v>107</v>
      </c>
      <c r="B27" s="10" t="s">
        <v>124</v>
      </c>
      <c r="C27" s="13" t="n">
        <v>8000000</v>
      </c>
      <c r="D27" s="13" t="n">
        <v>40000000</v>
      </c>
      <c r="E27" s="9" t="n">
        <v>0</v>
      </c>
      <c r="F27" s="14" t="n">
        <f aca="false">IF(ISNUMBER(D27),MAX(0,D27-E27),0)</f>
        <v>40000000</v>
      </c>
      <c r="G27" s="14" t="n">
        <f aca="false">IF(ISNUMBER(D27),ROUNDUP(D27/C27,0),"No limit")</f>
        <v>5</v>
      </c>
      <c r="H27" s="14" t="n">
        <f aca="false">IFERROR(INT(E27/C27),0)</f>
        <v>0</v>
      </c>
      <c r="I27" s="14" t="n">
        <f aca="false">IFERROR(ROUNDUP(F27/C27,0),0)</f>
        <v>5</v>
      </c>
      <c r="J27" s="12" t="s">
        <v>98</v>
      </c>
    </row>
    <row r="28" customFormat="false" ht="15" hidden="false" customHeight="false" outlineLevel="0" collapsed="false">
      <c r="A28" s="10" t="s">
        <v>107</v>
      </c>
      <c r="B28" s="10" t="s">
        <v>125</v>
      </c>
      <c r="C28" s="13" t="n">
        <v>17000000</v>
      </c>
      <c r="D28" s="13" t="n">
        <v>85000000</v>
      </c>
      <c r="E28" s="9" t="n">
        <v>0</v>
      </c>
      <c r="F28" s="14" t="n">
        <f aca="false">IF(ISNUMBER(D28),MAX(0,D28-E28),0)</f>
        <v>85000000</v>
      </c>
      <c r="G28" s="14" t="n">
        <f aca="false">IF(ISNUMBER(D28),ROUNDUP(D28/C28,0),"No limit")</f>
        <v>5</v>
      </c>
      <c r="H28" s="14" t="n">
        <f aca="false">IFERROR(INT(E28/C28),0)</f>
        <v>0</v>
      </c>
      <c r="I28" s="14" t="n">
        <f aca="false">IFERROR(ROUNDUP(F28/C28,0),0)</f>
        <v>5</v>
      </c>
      <c r="J28" s="12" t="s">
        <v>98</v>
      </c>
    </row>
    <row r="29" customFormat="false" ht="15" hidden="false" customHeight="false" outlineLevel="0" collapsed="false">
      <c r="A29" s="10" t="s">
        <v>107</v>
      </c>
      <c r="B29" s="10" t="s">
        <v>126</v>
      </c>
      <c r="C29" s="13" t="n">
        <v>8000000</v>
      </c>
      <c r="D29" s="13" t="n">
        <v>40000000</v>
      </c>
      <c r="E29" s="9" t="n">
        <v>0</v>
      </c>
      <c r="F29" s="14" t="n">
        <f aca="false">IF(ISNUMBER(D29),MAX(0,D29-E29),0)</f>
        <v>40000000</v>
      </c>
      <c r="G29" s="14" t="n">
        <f aca="false">IF(ISNUMBER(D29),ROUNDUP(D29/C29,0),"No limit")</f>
        <v>5</v>
      </c>
      <c r="H29" s="14" t="n">
        <f aca="false">IFERROR(INT(E29/C29),0)</f>
        <v>0</v>
      </c>
      <c r="I29" s="14" t="n">
        <f aca="false">IFERROR(ROUNDUP(F29/C29,0),0)</f>
        <v>5</v>
      </c>
      <c r="J29" s="12" t="s">
        <v>98</v>
      </c>
    </row>
    <row r="30" customFormat="false" ht="15" hidden="false" customHeight="false" outlineLevel="0" collapsed="false">
      <c r="A30" s="10" t="s">
        <v>107</v>
      </c>
      <c r="B30" s="10" t="s">
        <v>127</v>
      </c>
      <c r="C30" s="13" t="n">
        <v>17000000</v>
      </c>
      <c r="D30" s="13" t="n">
        <v>85000000</v>
      </c>
      <c r="E30" s="9" t="n">
        <v>0</v>
      </c>
      <c r="F30" s="14" t="n">
        <f aca="false">IF(ISNUMBER(D30),MAX(0,D30-E30),0)</f>
        <v>85000000</v>
      </c>
      <c r="G30" s="14" t="n">
        <f aca="false">IF(ISNUMBER(D30),ROUNDUP(D30/C30,0),"No limit")</f>
        <v>5</v>
      </c>
      <c r="H30" s="14" t="n">
        <f aca="false">IFERROR(INT(E30/C30),0)</f>
        <v>0</v>
      </c>
      <c r="I30" s="14" t="n">
        <f aca="false">IFERROR(ROUNDUP(F30/C30,0),0)</f>
        <v>5</v>
      </c>
      <c r="J30" s="12" t="s">
        <v>98</v>
      </c>
    </row>
    <row r="31" customFormat="false" ht="15" hidden="false" customHeight="false" outlineLevel="0" collapsed="false">
      <c r="A31" s="10" t="s">
        <v>128</v>
      </c>
      <c r="B31" s="10" t="s">
        <v>129</v>
      </c>
      <c r="C31" s="13" t="n">
        <v>40000000</v>
      </c>
      <c r="D31" s="13" t="n">
        <v>80000000</v>
      </c>
      <c r="E31" s="9" t="n">
        <v>0</v>
      </c>
      <c r="F31" s="14" t="n">
        <f aca="false">IF(ISNUMBER(D31),MAX(0,D31-E31),0)</f>
        <v>80000000</v>
      </c>
      <c r="G31" s="14" t="n">
        <f aca="false">IF(ISNUMBER(D31),ROUNDUP(D31/C31,0),"No limit")</f>
        <v>2</v>
      </c>
      <c r="H31" s="14" t="n">
        <f aca="false">IFERROR(INT(E31/C31),0)</f>
        <v>0</v>
      </c>
      <c r="I31" s="14" t="n">
        <f aca="false">IFERROR(ROUNDUP(F31/C31,0),0)</f>
        <v>2</v>
      </c>
      <c r="J31" s="12" t="s">
        <v>98</v>
      </c>
    </row>
    <row r="32" customFormat="false" ht="15" hidden="false" customHeight="false" outlineLevel="0" collapsed="false">
      <c r="A32" s="10" t="s">
        <v>128</v>
      </c>
      <c r="B32" s="10" t="s">
        <v>130</v>
      </c>
      <c r="C32" s="13" t="n">
        <v>80000000</v>
      </c>
      <c r="D32" s="13" t="n">
        <v>160000000</v>
      </c>
      <c r="E32" s="9" t="n">
        <v>0</v>
      </c>
      <c r="F32" s="14" t="n">
        <f aca="false">IF(ISNUMBER(D32),MAX(0,D32-E32),0)</f>
        <v>160000000</v>
      </c>
      <c r="G32" s="14" t="n">
        <f aca="false">IF(ISNUMBER(D32),ROUNDUP(D32/C32,0),"No limit")</f>
        <v>2</v>
      </c>
      <c r="H32" s="14" t="n">
        <f aca="false">IFERROR(INT(E32/C32),0)</f>
        <v>0</v>
      </c>
      <c r="I32" s="14" t="n">
        <f aca="false">IFERROR(ROUNDUP(F32/C32,0),0)</f>
        <v>2</v>
      </c>
      <c r="J32" s="12" t="s">
        <v>98</v>
      </c>
    </row>
    <row r="33" customFormat="false" ht="15" hidden="false" customHeight="false" outlineLevel="0" collapsed="false">
      <c r="A33" s="10" t="s">
        <v>128</v>
      </c>
      <c r="B33" s="10" t="s">
        <v>131</v>
      </c>
      <c r="C33" s="13" t="n">
        <v>150000000</v>
      </c>
      <c r="D33" s="13" t="n">
        <v>300000000</v>
      </c>
      <c r="E33" s="9" t="n">
        <v>0</v>
      </c>
      <c r="F33" s="14" t="n">
        <f aca="false">IF(ISNUMBER(D33),MAX(0,D33-E33),0)</f>
        <v>300000000</v>
      </c>
      <c r="G33" s="14" t="n">
        <f aca="false">IF(ISNUMBER(D33),ROUNDUP(D33/C33,0),"No limit")</f>
        <v>2</v>
      </c>
      <c r="H33" s="14" t="n">
        <f aca="false">IFERROR(INT(E33/C33),0)</f>
        <v>0</v>
      </c>
      <c r="I33" s="14" t="n">
        <f aca="false">IFERROR(ROUNDUP(F33/C33,0),0)</f>
        <v>2</v>
      </c>
      <c r="J33" s="12" t="s">
        <v>98</v>
      </c>
    </row>
    <row r="34" customFormat="false" ht="15" hidden="false" customHeight="false" outlineLevel="0" collapsed="false">
      <c r="A34" s="10" t="s">
        <v>132</v>
      </c>
      <c r="B34" s="10" t="s">
        <v>133</v>
      </c>
      <c r="C34" s="13" t="n">
        <v>200000000</v>
      </c>
      <c r="D34" s="13" t="n">
        <v>200000000</v>
      </c>
      <c r="E34" s="9" t="n">
        <v>0</v>
      </c>
      <c r="F34" s="14" t="n">
        <f aca="false">IF(ISNUMBER(D34),MAX(0,D34-E34),0)</f>
        <v>200000000</v>
      </c>
      <c r="G34" s="14" t="n">
        <f aca="false">IF(ISNUMBER(D34),ROUNDUP(D34/C34,0),"No limit")</f>
        <v>1</v>
      </c>
      <c r="H34" s="14" t="n">
        <f aca="false">IFERROR(INT(E34/C34),0)</f>
        <v>0</v>
      </c>
      <c r="I34" s="14" t="n">
        <f aca="false">IFERROR(ROUNDUP(F34/C34,0),0)</f>
        <v>1</v>
      </c>
      <c r="J34" s="12" t="s">
        <v>98</v>
      </c>
    </row>
    <row r="35" customFormat="false" ht="15" hidden="false" customHeight="false" outlineLevel="0" collapsed="false">
      <c r="A35" s="10" t="s">
        <v>132</v>
      </c>
      <c r="B35" s="10" t="s">
        <v>134</v>
      </c>
      <c r="C35" s="13" t="n">
        <v>200000000</v>
      </c>
      <c r="D35" s="13" t="n">
        <v>200000000</v>
      </c>
      <c r="E35" s="9" t="n">
        <v>0</v>
      </c>
      <c r="F35" s="14" t="n">
        <f aca="false">IF(ISNUMBER(D35),MAX(0,D35-E35),0)</f>
        <v>200000000</v>
      </c>
      <c r="G35" s="14" t="n">
        <f aca="false">IF(ISNUMBER(D35),ROUNDUP(D35/C35,0),"No limit")</f>
        <v>1</v>
      </c>
      <c r="H35" s="14" t="n">
        <f aca="false">IFERROR(INT(E35/C35),0)</f>
        <v>0</v>
      </c>
      <c r="I35" s="14" t="n">
        <f aca="false">IFERROR(ROUNDUP(F35/C35,0),0)</f>
        <v>1</v>
      </c>
      <c r="J35" s="12" t="s">
        <v>98</v>
      </c>
    </row>
    <row r="36" customFormat="false" ht="15" hidden="false" customHeight="false" outlineLevel="0" collapsed="false">
      <c r="A36" s="10" t="s">
        <v>135</v>
      </c>
      <c r="B36" s="10" t="s">
        <v>136</v>
      </c>
      <c r="C36" s="13" t="n">
        <v>17000000</v>
      </c>
      <c r="D36" s="13" t="n">
        <v>85000000</v>
      </c>
      <c r="E36" s="9" t="n">
        <v>0</v>
      </c>
      <c r="F36" s="14" t="n">
        <f aca="false">IF(ISNUMBER(D36),MAX(0,D36-E36),0)</f>
        <v>85000000</v>
      </c>
      <c r="G36" s="14" t="n">
        <f aca="false">IF(ISNUMBER(D36),ROUNDUP(D36/C36,0),"No limit")</f>
        <v>5</v>
      </c>
      <c r="H36" s="14" t="n">
        <f aca="false">IFERROR(INT(E36/C36),0)</f>
        <v>0</v>
      </c>
      <c r="I36" s="14" t="n">
        <f aca="false">IFERROR(ROUNDUP(F36/C36,0),0)</f>
        <v>5</v>
      </c>
      <c r="J36" s="12" t="s">
        <v>98</v>
      </c>
    </row>
    <row r="37" customFormat="false" ht="15" hidden="false" customHeight="false" outlineLevel="0" collapsed="false">
      <c r="A37" s="10" t="s">
        <v>135</v>
      </c>
      <c r="B37" s="10" t="s">
        <v>137</v>
      </c>
      <c r="C37" s="13" t="n">
        <v>150000000</v>
      </c>
      <c r="D37" s="13" t="n">
        <v>750000000</v>
      </c>
      <c r="E37" s="9" t="n">
        <v>0</v>
      </c>
      <c r="F37" s="14" t="n">
        <f aca="false">IF(ISNUMBER(D37),MAX(0,D37-E37),0)</f>
        <v>750000000</v>
      </c>
      <c r="G37" s="14" t="n">
        <f aca="false">IF(ISNUMBER(D37),ROUNDUP(D37/C37,0),"No limit")</f>
        <v>5</v>
      </c>
      <c r="H37" s="14" t="n">
        <f aca="false">IFERROR(INT(E37/C37),0)</f>
        <v>0</v>
      </c>
      <c r="I37" s="14" t="n">
        <f aca="false">IFERROR(ROUNDUP(F37/C37,0),0)</f>
        <v>5</v>
      </c>
      <c r="J37" s="12" t="s">
        <v>98</v>
      </c>
    </row>
    <row r="38" customFormat="false" ht="15" hidden="false" customHeight="false" outlineLevel="0" collapsed="false">
      <c r="A38" s="10" t="s">
        <v>135</v>
      </c>
      <c r="B38" s="10" t="s">
        <v>138</v>
      </c>
      <c r="C38" s="13" t="n">
        <v>17000000</v>
      </c>
      <c r="D38" s="13" t="n">
        <v>85000000</v>
      </c>
      <c r="E38" s="9" t="n">
        <v>0</v>
      </c>
      <c r="F38" s="14" t="n">
        <f aca="false">IF(ISNUMBER(D38),MAX(0,D38-E38),0)</f>
        <v>85000000</v>
      </c>
      <c r="G38" s="14" t="n">
        <f aca="false">IF(ISNUMBER(D38),ROUNDUP(D38/C38,0),"No limit")</f>
        <v>5</v>
      </c>
      <c r="H38" s="14" t="n">
        <f aca="false">IFERROR(INT(E38/C38),0)</f>
        <v>0</v>
      </c>
      <c r="I38" s="14" t="n">
        <f aca="false">IFERROR(ROUNDUP(F38/C38,0),0)</f>
        <v>5</v>
      </c>
      <c r="J38" s="12" t="s">
        <v>98</v>
      </c>
    </row>
    <row r="39" customFormat="false" ht="15" hidden="false" customHeight="false" outlineLevel="0" collapsed="false">
      <c r="A39" s="10" t="s">
        <v>135</v>
      </c>
      <c r="B39" s="10" t="s">
        <v>139</v>
      </c>
      <c r="C39" s="13" t="n">
        <v>50000000</v>
      </c>
      <c r="D39" s="13" t="n">
        <v>250000000</v>
      </c>
      <c r="E39" s="9" t="n">
        <v>0</v>
      </c>
      <c r="F39" s="14" t="n">
        <f aca="false">IF(ISNUMBER(D39),MAX(0,D39-E39),0)</f>
        <v>250000000</v>
      </c>
      <c r="G39" s="14" t="n">
        <f aca="false">IF(ISNUMBER(D39),ROUNDUP(D39/C39,0),"No limit")</f>
        <v>5</v>
      </c>
      <c r="H39" s="14" t="n">
        <f aca="false">IFERROR(INT(E39/C39),0)</f>
        <v>0</v>
      </c>
      <c r="I39" s="14" t="n">
        <f aca="false">IFERROR(ROUNDUP(F39/C39,0),0)</f>
        <v>5</v>
      </c>
      <c r="J39" s="12" t="s">
        <v>98</v>
      </c>
    </row>
    <row r="40" customFormat="false" ht="15" hidden="false" customHeight="false" outlineLevel="0" collapsed="false">
      <c r="A40" s="10" t="s">
        <v>135</v>
      </c>
      <c r="B40" s="10" t="s">
        <v>140</v>
      </c>
      <c r="C40" s="13" t="n">
        <v>150000000</v>
      </c>
      <c r="D40" s="13" t="n">
        <v>750000000</v>
      </c>
      <c r="E40" s="9" t="n">
        <v>0</v>
      </c>
      <c r="F40" s="14" t="n">
        <f aca="false">IF(ISNUMBER(D40),MAX(0,D40-E40),0)</f>
        <v>750000000</v>
      </c>
      <c r="G40" s="14" t="n">
        <f aca="false">IF(ISNUMBER(D40),ROUNDUP(D40/C40,0),"No limit")</f>
        <v>5</v>
      </c>
      <c r="H40" s="14" t="n">
        <f aca="false">IFERROR(INT(E40/C40),0)</f>
        <v>0</v>
      </c>
      <c r="I40" s="14" t="n">
        <f aca="false">IFERROR(ROUNDUP(F40/C40,0),0)</f>
        <v>5</v>
      </c>
      <c r="J40" s="12" t="s">
        <v>98</v>
      </c>
    </row>
    <row r="41" customFormat="false" ht="15" hidden="false" customHeight="false" outlineLevel="0" collapsed="false">
      <c r="A41" s="10" t="s">
        <v>141</v>
      </c>
      <c r="B41" s="10" t="s">
        <v>142</v>
      </c>
      <c r="C41" s="13" t="n">
        <v>17000000</v>
      </c>
      <c r="D41" s="13" t="n">
        <v>85000000</v>
      </c>
      <c r="E41" s="9" t="n">
        <v>0</v>
      </c>
      <c r="F41" s="14" t="n">
        <f aca="false">IF(ISNUMBER(D41),MAX(0,D41-E41),0)</f>
        <v>85000000</v>
      </c>
      <c r="G41" s="14" t="n">
        <f aca="false">IF(ISNUMBER(D41),ROUNDUP(D41/C41,0),"No limit")</f>
        <v>5</v>
      </c>
      <c r="H41" s="14" t="n">
        <f aca="false">IFERROR(INT(E41/C41),0)</f>
        <v>0</v>
      </c>
      <c r="I41" s="14" t="n">
        <f aca="false">IFERROR(ROUNDUP(F41/C41,0),0)</f>
        <v>5</v>
      </c>
      <c r="J41" s="12" t="s">
        <v>98</v>
      </c>
    </row>
    <row r="42" customFormat="false" ht="15" hidden="false" customHeight="false" outlineLevel="0" collapsed="false">
      <c r="A42" s="10" t="s">
        <v>141</v>
      </c>
      <c r="B42" s="10" t="s">
        <v>143</v>
      </c>
      <c r="C42" s="13" t="n">
        <v>150000000</v>
      </c>
      <c r="D42" s="13" t="n">
        <v>750000000</v>
      </c>
      <c r="E42" s="9" t="n">
        <v>0</v>
      </c>
      <c r="F42" s="14" t="n">
        <f aca="false">IF(ISNUMBER(D42),MAX(0,D42-E42),0)</f>
        <v>750000000</v>
      </c>
      <c r="G42" s="14" t="n">
        <f aca="false">IF(ISNUMBER(D42),ROUNDUP(D42/C42,0),"No limit")</f>
        <v>5</v>
      </c>
      <c r="H42" s="14" t="n">
        <f aca="false">IFERROR(INT(E42/C42),0)</f>
        <v>0</v>
      </c>
      <c r="I42" s="14" t="n">
        <f aca="false">IFERROR(ROUNDUP(F42/C42,0),0)</f>
        <v>5</v>
      </c>
      <c r="J42" s="12" t="s">
        <v>98</v>
      </c>
    </row>
    <row r="43" customFormat="false" ht="15" hidden="false" customHeight="false" outlineLevel="0" collapsed="false">
      <c r="A43" s="10" t="s">
        <v>141</v>
      </c>
      <c r="B43" s="10" t="s">
        <v>144</v>
      </c>
      <c r="C43" s="13" t="n">
        <v>17000000</v>
      </c>
      <c r="D43" s="13" t="n">
        <v>85000000</v>
      </c>
      <c r="E43" s="9" t="n">
        <v>0</v>
      </c>
      <c r="F43" s="14" t="n">
        <f aca="false">IF(ISNUMBER(D43),MAX(0,D43-E43),0)</f>
        <v>85000000</v>
      </c>
      <c r="G43" s="14" t="n">
        <f aca="false">IF(ISNUMBER(D43),ROUNDUP(D43/C43,0),"No limit")</f>
        <v>5</v>
      </c>
      <c r="H43" s="14" t="n">
        <f aca="false">IFERROR(INT(E43/C43),0)</f>
        <v>0</v>
      </c>
      <c r="I43" s="14" t="n">
        <f aca="false">IFERROR(ROUNDUP(F43/C43,0),0)</f>
        <v>5</v>
      </c>
      <c r="J43" s="12" t="s">
        <v>98</v>
      </c>
    </row>
    <row r="44" customFormat="false" ht="15" hidden="false" customHeight="false" outlineLevel="0" collapsed="false">
      <c r="A44" s="10" t="s">
        <v>141</v>
      </c>
      <c r="B44" s="10" t="s">
        <v>145</v>
      </c>
      <c r="C44" s="13" t="n">
        <v>50000000</v>
      </c>
      <c r="D44" s="13" t="n">
        <v>250000000</v>
      </c>
      <c r="E44" s="9" t="n">
        <v>0</v>
      </c>
      <c r="F44" s="14" t="n">
        <f aca="false">IF(ISNUMBER(D44),MAX(0,D44-E44),0)</f>
        <v>250000000</v>
      </c>
      <c r="G44" s="14" t="n">
        <f aca="false">IF(ISNUMBER(D44),ROUNDUP(D44/C44,0),"No limit")</f>
        <v>5</v>
      </c>
      <c r="H44" s="14" t="n">
        <f aca="false">IFERROR(INT(E44/C44),0)</f>
        <v>0</v>
      </c>
      <c r="I44" s="14" t="n">
        <f aca="false">IFERROR(ROUNDUP(F44/C44,0),0)</f>
        <v>5</v>
      </c>
      <c r="J44" s="12" t="s">
        <v>98</v>
      </c>
    </row>
    <row r="45" customFormat="false" ht="15" hidden="false" customHeight="false" outlineLevel="0" collapsed="false">
      <c r="A45" s="10" t="s">
        <v>141</v>
      </c>
      <c r="B45" s="10" t="s">
        <v>146</v>
      </c>
      <c r="C45" s="13" t="n">
        <v>150000000</v>
      </c>
      <c r="D45" s="13" t="n">
        <v>750000000</v>
      </c>
      <c r="E45" s="9" t="n">
        <v>0</v>
      </c>
      <c r="F45" s="14" t="n">
        <f aca="false">IF(ISNUMBER(D45),MAX(0,D45-E45),0)</f>
        <v>750000000</v>
      </c>
      <c r="G45" s="14" t="n">
        <f aca="false">IF(ISNUMBER(D45),ROUNDUP(D45/C45,0),"No limit")</f>
        <v>5</v>
      </c>
      <c r="H45" s="14" t="n">
        <f aca="false">IFERROR(INT(E45/C45),0)</f>
        <v>0</v>
      </c>
      <c r="I45" s="14" t="n">
        <f aca="false">IFERROR(ROUNDUP(F45/C45,0),0)</f>
        <v>5</v>
      </c>
      <c r="J45" s="12" t="s">
        <v>98</v>
      </c>
    </row>
    <row r="46" customFormat="false" ht="15" hidden="false" customHeight="false" outlineLevel="0" collapsed="false">
      <c r="A46" s="10" t="s">
        <v>147</v>
      </c>
      <c r="B46" s="10" t="s">
        <v>148</v>
      </c>
      <c r="C46" s="13" t="n">
        <v>1</v>
      </c>
      <c r="D46" s="13" t="s">
        <v>149</v>
      </c>
      <c r="E46" s="9" t="n">
        <v>0</v>
      </c>
      <c r="F46" s="14" t="n">
        <f aca="false">IF(ISNUMBER(D46),MAX(0,D46-E46),0)</f>
        <v>0</v>
      </c>
      <c r="G46" s="14" t="str">
        <f aca="false">IF(ISNUMBER(D46),ROUNDUP(D46/C46,0),"No limit")</f>
        <v>No limit</v>
      </c>
      <c r="H46" s="14" t="n">
        <f aca="false">IFERROR(INT(E46/C46),0)</f>
        <v>0</v>
      </c>
      <c r="I46" s="14" t="n">
        <f aca="false">IFERROR(ROUNDUP(F46/C46,0),0)</f>
        <v>0</v>
      </c>
      <c r="J46" s="12" t="s">
        <v>102</v>
      </c>
    </row>
    <row r="48" customFormat="false" ht="15" hidden="false" customHeight="false" outlineLevel="0" collapsed="false">
      <c r="B48" s="3" t="s">
        <v>150</v>
      </c>
      <c r="E48" s="6" t="n">
        <f aca="false">SUM(E5:E46)</f>
        <v>0</v>
      </c>
      <c r="F48" s="6"/>
    </row>
    <row r="49" customFormat="false" ht="15" hidden="false" customHeight="false" outlineLevel="0" collapsed="false">
      <c r="B49" s="3" t="s">
        <v>151</v>
      </c>
      <c r="E49" s="6"/>
      <c r="F49" s="6" t="n">
        <f aca="false">SUM(F5:F46)</f>
        <v>7870000000</v>
      </c>
    </row>
    <row r="50" customFormat="false" ht="15" hidden="false" customHeight="false" outlineLevel="0" collapsed="false">
      <c r="B50" s="3" t="s">
        <v>152</v>
      </c>
      <c r="E50" s="6"/>
      <c r="F50" s="6" t="n">
        <f aca="false">SUMIF(J5:J46,"Yes",F5:F46)</f>
        <v>5870000000</v>
      </c>
    </row>
    <row r="51" customFormat="false" ht="15" hidden="false" customHeight="false" outlineLevel="0" collapsed="false">
      <c r="B51" s="2" t="s">
        <v>153</v>
      </c>
    </row>
  </sheetData>
  <autoFilter ref="A4:J46"/>
  <conditionalFormatting sqref="F5:F46">
    <cfRule type="cellIs" priority="2" operator="equal" aboveAverage="0" equalAverage="0" bottom="0" percent="0" rank="0" text="" dxfId="9">
      <formula>0</formula>
    </cfRule>
  </conditionalFormatting>
  <dataValidations count="1">
    <dataValidation allowBlank="true" errorStyle="stop" operator="between" showDropDown="false" showErrorMessage="false" showInputMessage="false" sqref="J5:J4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2026-10-11T16:08:02Z</dcterms:created>
  <dc:creator>openpyxl</dc:creator>
  <dc:description/>
  <dc:language>en-US</dc:language>
  <cp:lastModifiedBy/>
  <dcterms:modified xsi:type="dcterms:W3CDTF">2026-10-11T16:08:02Z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