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<sst xmlns="http://schemas.openxmlformats.org/spreadsheetml/2006/main" count="1214" uniqueCount="626">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</sst>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964611046</v>
      </c>
      <c r="D6" s="15" t="s">
        <v>242</v>
      </c>
      <c r="E6" s="19" t="n">
        <f aca="false">B6+Scoring!F51</f>
        <v>6138111046</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10388954</v>
      </c>
    </row>
    <row r="10" customFormat="false" ht="15" hidden="false" customHeight="false" outlineLevel="0" collapsed="false">
      <c r="A10" s="15" t="s">
        <v>246</v>
      </c>
      <c r="B10" s="19" t="n">
        <f aca="false">MAX(0,B76-B6)</f>
        <v>3160388954</v>
      </c>
    </row>
    <row r="11" customFormat="false" ht="15" hidden="false" customHeight="false" outlineLevel="0" collapsed="false">
      <c r="A11" s="15" t="s">
        <v>247</v>
      </c>
      <c r="B11" s="19" t="n">
        <f aca="true">IFERROR(B10/MAX(B5-NOW(),0.01),0)</f>
        <v>1025730024.95548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10388954</v>
      </c>
      <c r="F63" s="10" t="s">
        <v>185</v>
      </c>
    </row>
    <row r="64" customFormat="false" ht="15" hidden="false" customHeight="false" outlineLevel="0" collapsed="false">
      <c r="A64" s="25" t="n">
        <v>52</v>
      </c>
      <c r="B64" s="13" t="n">
        <v>1050000000</v>
      </c>
      <c r="C64" s="11" t="s">
        <v>299</v>
      </c>
      <c r="D64" s="11"/>
      <c r="E64" s="23" t="n">
        <f aca="false">IF(B64="","",MAX(0,B64-$B$6))</f>
        <v>85388954</v>
      </c>
      <c r="F64" s="10" t="s">
        <v>185</v>
      </c>
    </row>
    <row r="65" customFormat="false" ht="15" hidden="false" customHeight="false" outlineLevel="0" collapsed="false">
      <c r="A65" s="25" t="n">
        <v>53</v>
      </c>
      <c r="B65" s="13" t="n">
        <v>1125000000</v>
      </c>
      <c r="C65" s="11" t="s">
        <v>300</v>
      </c>
      <c r="D65" s="11"/>
      <c r="E65" s="23" t="n">
        <f aca="false">IF(B65="","",MAX(0,B65-$B$6))</f>
        <v>160388954</v>
      </c>
      <c r="F65" s="10" t="s">
        <v>185</v>
      </c>
    </row>
    <row r="66" customFormat="false" ht="15" hidden="false" customHeight="false" outlineLevel="0" collapsed="false">
      <c r="A66" s="25" t="n">
        <v>54</v>
      </c>
      <c r="B66" s="13" t="n">
        <v>1200000000</v>
      </c>
      <c r="C66" s="11" t="s">
        <v>301</v>
      </c>
      <c r="D66" s="11"/>
      <c r="E66" s="23" t="n">
        <f aca="false">IF(B66="","",MAX(0,B66-$B$6))</f>
        <v>235388954</v>
      </c>
      <c r="F66" s="10" t="s">
        <v>185</v>
      </c>
    </row>
    <row r="67" customFormat="false" ht="15" hidden="false" customHeight="false" outlineLevel="0" collapsed="false">
      <c r="A67" s="25" t="n">
        <v>55</v>
      </c>
      <c r="B67" s="13" t="n">
        <v>1350000000</v>
      </c>
      <c r="C67" s="11" t="s">
        <v>302</v>
      </c>
      <c r="D67" s="11"/>
      <c r="E67" s="23" t="n">
        <f aca="false">IF(B67="","",MAX(0,B67-$B$6))</f>
        <v>385388954</v>
      </c>
      <c r="F67" s="10" t="s">
        <v>185</v>
      </c>
    </row>
    <row r="68" customFormat="false" ht="15" hidden="false" customHeight="false" outlineLevel="0" collapsed="false">
      <c r="A68" s="25" t="n">
        <v>56</v>
      </c>
      <c r="B68" s="13" t="n">
        <v>1500000000</v>
      </c>
      <c r="C68" s="11" t="s">
        <v>303</v>
      </c>
      <c r="D68" s="11"/>
      <c r="E68" s="23" t="n">
        <f aca="false">IF(B68="","",MAX(0,B68-$B$6))</f>
        <v>535388954</v>
      </c>
      <c r="F68" s="10" t="s">
        <v>185</v>
      </c>
    </row>
    <row r="69" customFormat="false" ht="15" hidden="false" customHeight="false" outlineLevel="0" collapsed="false">
      <c r="A69" s="25" t="n">
        <v>57</v>
      </c>
      <c r="B69" s="13" t="n">
        <v>1650000000</v>
      </c>
      <c r="C69" s="11" t="s">
        <v>304</v>
      </c>
      <c r="D69" s="11"/>
      <c r="E69" s="23" t="n">
        <f aca="false">IF(B69="","",MAX(0,B69-$B$6))</f>
        <v>685388954</v>
      </c>
      <c r="F69" s="10" t="s">
        <v>185</v>
      </c>
    </row>
    <row r="70" customFormat="false" ht="15" hidden="false" customHeight="false" outlineLevel="0" collapsed="false">
      <c r="A70" s="25" t="n">
        <v>58</v>
      </c>
      <c r="B70" s="13" t="n">
        <v>1875000000</v>
      </c>
      <c r="C70" s="11" t="s">
        <v>305</v>
      </c>
      <c r="D70" s="11"/>
      <c r="E70" s="23" t="n">
        <f aca="false">IF(B70="","",MAX(0,B70-$B$6))</f>
        <v>910388954</v>
      </c>
      <c r="F70" s="10" t="s">
        <v>185</v>
      </c>
    </row>
    <row r="71" customFormat="false" ht="15" hidden="false" customHeight="false" outlineLevel="0" collapsed="false">
      <c r="A71" s="25" t="n">
        <v>59</v>
      </c>
      <c r="B71" s="13" t="n">
        <v>2250000000</v>
      </c>
      <c r="C71" s="11" t="s">
        <v>306</v>
      </c>
      <c r="D71" s="11"/>
      <c r="E71" s="23" t="n">
        <f aca="false">IF(B71="","",MAX(0,B71-$B$6))</f>
        <v>1285388954</v>
      </c>
      <c r="F71" s="10" t="s">
        <v>185</v>
      </c>
    </row>
    <row r="72" customFormat="false" ht="15" hidden="false" customHeight="false" outlineLevel="0" collapsed="false">
      <c r="A72" s="25" t="n">
        <v>60</v>
      </c>
      <c r="B72" s="13" t="n">
        <v>2625000000</v>
      </c>
      <c r="C72" s="11" t="s">
        <v>307</v>
      </c>
      <c r="D72" s="11"/>
      <c r="E72" s="23" t="n">
        <f aca="false">IF(B72="","",MAX(0,B72-$B$6))</f>
        <v>1660388954</v>
      </c>
      <c r="F72" s="10" t="s">
        <v>185</v>
      </c>
    </row>
    <row r="73" customFormat="false" ht="15" hidden="false" customHeight="false" outlineLevel="0" collapsed="false">
      <c r="A73" s="25" t="n">
        <v>61</v>
      </c>
      <c r="B73" s="13" t="n">
        <v>3000000000</v>
      </c>
      <c r="C73" s="11" t="s">
        <v>308</v>
      </c>
      <c r="D73" s="11"/>
      <c r="E73" s="23" t="n">
        <f aca="false">IF(B73="","",MAX(0,B73-$B$6))</f>
        <v>2035388954</v>
      </c>
      <c r="F73" s="10" t="s">
        <v>185</v>
      </c>
    </row>
    <row r="74" customFormat="false" ht="15" hidden="false" customHeight="false" outlineLevel="0" collapsed="false">
      <c r="A74" s="25" t="n">
        <v>62</v>
      </c>
      <c r="B74" s="13" t="n">
        <v>3375000000</v>
      </c>
      <c r="C74" s="11" t="s">
        <v>309</v>
      </c>
      <c r="D74" s="11"/>
      <c r="E74" s="23" t="n">
        <f aca="false">IF(B74="","",MAX(0,B74-$B$6))</f>
        <v>2410388954</v>
      </c>
      <c r="F74" s="10" t="s">
        <v>185</v>
      </c>
    </row>
    <row r="75" customFormat="false" ht="15" hidden="false" customHeight="false" outlineLevel="0" collapsed="false">
      <c r="A75" s="25" t="n">
        <v>63</v>
      </c>
      <c r="B75" s="13" t="n">
        <v>3750000000</v>
      </c>
      <c r="C75" s="11" t="s">
        <v>310</v>
      </c>
      <c r="D75" s="11"/>
      <c r="E75" s="23" t="n">
        <f aca="false">IF(B75="","",MAX(0,B75-$B$6))</f>
        <v>2785388954</v>
      </c>
      <c r="F75" s="10" t="s">
        <v>185</v>
      </c>
    </row>
    <row r="76" customFormat="false" ht="15" hidden="false" customHeight="false" outlineLevel="0" collapsed="false">
      <c r="A76" s="25" t="n">
        <v>64</v>
      </c>
      <c r="B76" s="13" t="n">
        <v>4125000000</v>
      </c>
      <c r="C76" s="11" t="s">
        <v>311</v>
      </c>
      <c r="D76" s="11"/>
      <c r="E76" s="23" t="n">
        <f aca="false">IF(B76="","",MAX(0,B76-$B$6))</f>
        <v>3160388954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907611045</v>
      </c>
      <c r="F49" s="19"/>
    </row>
    <row r="50" customFormat="false" ht="15" hidden="false" customHeight="false" outlineLevel="0" collapsed="false">
      <c r="B50" s="15" t="s">
        <v>378</v>
      </c>
      <c r="E50" s="19"/>
      <c r="F50" s="19" t="n">
        <f aca="false">SUM(F5:F47)</f>
        <v>7033388955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2026-10-15T19:03:07Z</dcterms:created>
  <dc:creator>openpyxl</dc:creator>
  <dc:description/>
  <dc:language>en-US</dc:language>
  <cp:lastModifiedBy/>
  <dcterms:modified xsi:type="dcterms:W3CDTF">2026-10-15T19:03:08Z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