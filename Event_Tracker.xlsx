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<sst xmlns="http://schemas.openxmlformats.org/spreadsheetml/2006/main" count="1208" uniqueCount="622">
  <si>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</si>
  <si>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</si>
  <si>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</si>
  <si>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</si>
  <si>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</si>
  <si>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</si>
  <si>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</si>
  <si>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</si>
  <si>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</si>
  <si>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</si>
  <si>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</si>
  <si>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</si>
  <si>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</si>
  <si>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</si>
  <si>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</si>
  <si>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</si>
  <si>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</si>
  <si>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</si>
  <si>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</si>
  <si>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</si>
  <si>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</si>
  <si>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</si>
  <si>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</si>
  <si>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</si>
  <si>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</si>
  <si>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</si>
  <si>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</si>
  <si>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</si>
  <si>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</si>
  <si>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</si>
  <si>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</si>
  <si>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</si>
  <si>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</si>
  <si>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</si>
  <si>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</si>
  <si>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</si>
  <si>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</si>
  <si>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</si>
  <si>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</si>
  <si>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</si>
  <si>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</si>
  <si>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</si>
  <si>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</si>
  <si>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</si>
  <si>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</si>
  <si>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</si>
  <si>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</si>
  <si>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</si>
  <si>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</si>
  <si>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</si>
  <si>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</si>
  <si>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</si>
  <si>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</si>
  <si>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</si>
  <si>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</si>
  <si>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</si>
  <si>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</si>
  <si>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</si>
  <si>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</si>
  <si>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</si>
  <si>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</si>
  <si>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</si>
  <si>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</si>
  <si>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</si>
  <si>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</si>
  <si>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</si>
  <si>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</si>
  <si>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</si>
  <si>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</si>
  <si>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</si>
  <si>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</si>
  <si>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</si>
  <si>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</si>
  <si>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</si>
  <si>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</si>
  <si>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</si>
  <si>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</si>
  <si>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</si>
  <si>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</si>
  <si>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</si>
  <si>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</si>
  <si>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</si>
  <si>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</si>
  <si>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</si>
  <si>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</si>
  <si>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</si>
  <si>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</si>
  <si>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</si>
  <si>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</si>
  <si>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</si>
  <si>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</si>
  <si>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</si>
  <si>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</si>
  <si>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</si>
  <si>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</si>
  <si>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</si>
  <si>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</si>
  <si>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</si>
  <si>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</si>
  <si>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</si>
  <si>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</si>
  <si>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</si>
  <si>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</si>
  <si>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</si>
  <si>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</si>
  <si>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</si>
  <si>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</si>
  <si>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</si>
  <si>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</si>
  <si>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</si>
  <si>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</si>
  <si>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</si>
  <si>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</si>
  <si>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</si>
  <si>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</si>
  <si>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</si>
  <si>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</si>
  <si>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</si>
  <si>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</si>
  <si>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</si>
  <si>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</si>
  <si>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</si>
  <si>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</si>
  <si>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</si>
  <si>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</si>
  <si>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</si>
  <si>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</si>
  <si>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</si>
  <si>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</si>
  <si>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</si>
  <si>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</si>
  <si>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</si>
  <si>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</si>
  <si>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</si>
  <si>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</si>
  <si>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</si>
  <si>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</si>
  <si>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</si>
  <si>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</si>
  <si>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</si>
  <si>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</si>
  <si>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</si>
  <si>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</si>
  <si>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</si>
  <si>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</si>
  <si>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</si>
  <si>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</si>
  <si>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</si>
  <si>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</si>
  <si>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</si>
  <si>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</si>
  <si>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</si>
  <si>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</si>
  <si>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</si>
  <si>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</si>
  <si>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</si>
  <si>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</si>
  <si>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</si>
  <si>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</si>
  <si>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</si>
  <si>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</si>
  <si>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</si>
  <si>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</si>
  <si>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</si>
  <si>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</si>
  <si>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</si>
  <si>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</si>
  <si>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</si>
  <si>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</si>
  <si>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</si>
  <si>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</si>
  <si>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</si>
  <si>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</si>
  <si>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</si>
  <si>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</si>
  <si>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</si>
  <si>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</si>
  <si>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</si>
  <si>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</si>
  <si>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</si>
  <si>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</si>
  <si>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</si>
  <si>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</si>
  <si>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</si>
  <si>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</si>
  <si>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</si>
  <si>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</si>
  <si>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</si>
  <si>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</si>
  <si>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</si>
  <si>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</si>
  <si>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</si>
  <si>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</si>
  <si>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</si>
  <si>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</si>
  <si>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</si>
  <si>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</si>
  <si>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</si>
  <si>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</si>
  <si>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</si>
  <si>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</si>
  <si>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</si>
  <si>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</si>
  <si>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</si>
  <si>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</si>
  <si>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</si>
  <si>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</si>
  <si>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</si>
  <si>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</si>
  <si>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</si>
  <si>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</si>
  <si>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</si>
  <si>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</si>
  <si>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</si>
  <si>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</si>
  <si>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</si>
  <si>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</si>
  <si>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</si>
  <si>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</si>
  <si>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</si>
  <si>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</si>
  <si>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</si>
  <si>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</si>
  <si>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</si>
  <si>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</si>
  <si>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</si>
  <si>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</si>
  <si>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</si>
  <si>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</si>
  <si>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</si>
  <si>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</si>
  <si>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</si>
  <si>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</si>
  <si>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</si>
  <si>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</si>
  <si>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</si>
  <si>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</si>
  <si>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</si>
  <si>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</si>
  <si>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</si>
  <si>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</si>
  <si>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</si>
  <si>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</si>
  <si>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</si>
  <si>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</si>
  <si>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</si>
  <si>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</si>
  <si>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</si>
  <si>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</si>
  <si>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</si>
  <si>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</si>
  <si>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</si>
  <si>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</si>
  <si>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</si>
  <si>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</si>
  <si>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</si>
  <si>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</si>
  <si>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</si>
  <si>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</si>
  <si>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</si>
  <si>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</si>
  <si>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</si>
  <si>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</si>
  <si>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</si>
  <si>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</si>
  <si>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</si>
  <si>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</si>
  <si>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</si>
  <si>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</si>
  <si>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</si>
  <si>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</si>
  <si>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</si>
  <si>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</si>
  <si>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</si>
  <si>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</si>
  <si>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</si>
  <si>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</si>
  <si>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</si>
  <si>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</si>
  <si>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</si>
  <si>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</si>
  <si>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</si>
  <si>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</si>
  <si>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</si>
  <si>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</si>
  <si>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</si>
  <si>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</si>
  <si>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</si>
  <si>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</si>
  <si>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</si>
  <si>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</si>
  <si>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</si>
  <si>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</si>
  <si>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</si>
  <si>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</si>
  <si>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</si>
  <si>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</si>
  <si>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</si>
  <si>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</si>
  <si>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</si>
  <si>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</si>
  <si>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</si>
  <si>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</si>
  <si>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</si>
  <si>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</si>
  <si>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</si>
  <si>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</si>
  <si>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</si>
  <si>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</si>
  <si>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</si>
  <si>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</si>
  <si>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</si>
  <si>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</si>
  <si>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</si>
  <si>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</si>
  <si>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</si>
  <si>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</si>
  <si>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</si>
  <si>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</si>
  <si>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</si>
  <si>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</si>
  <si>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</si>
  <si>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</si>
  <si>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</si>
  <si>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</si>
  <si>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</si>
  <si>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</si>
  <si>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</si>
  <si>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</si>
  <si>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</si>
  <si>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</si>
  <si>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</si>
  <si>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</si>
  <si>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</si>
  <si>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</si>
  <si>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</si>
  <si>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</si>
  <si>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</si>
  <si>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</si>
  <si>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</si>
  <si>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</si>
  <si>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</si>
  <si>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</si>
  <si>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</si>
  <si>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</si>
  <si>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</si>
  <si>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</si>
  <si>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</si>
  <si>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</si>
  <si>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</si>
  <si>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</si>
  <si>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</si>
  <si>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</si>
  <si>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</si>
  <si>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</si>
  <si>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</si>
  <si>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</si>
  <si>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</si>
  <si>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</si>
  <si>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</si>
  <si>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</si>
  <si>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</si>
  <si>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</si>
  <si>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</si>
  <si>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</si>
  <si>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</si>
  <si>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</si>
  <si>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</si>
  <si>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</si>
  <si>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</si>
  <si>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</si>
  <si>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</si>
  <si>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</si>
  <si>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</si>
  <si>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</si>
  <si>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</si>
  <si>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</si>
  <si>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</si>
  <si>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</si>
  <si>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</si>
  <si>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</si>
  <si>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</si>
  <si>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</si>
  <si>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</si>
  <si>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</si>
  <si>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</si>
  <si>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</si>
  <si>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</si>
  <si>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</si>
  <si>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</si>
  <si>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</si>
  <si>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</si>
  <si>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</si>
  <si>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</si>
  <si>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</si>
  <si>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</si>
  <si>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</si>
  <si>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</si>
  <si>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</si>
  <si>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</si>
  <si>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</si>
  <si>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</si>
  <si>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</si>
  <si>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</si>
  <si>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</si>
  <si>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</si>
  <si>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</si>
  <si>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</si>
  <si>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</si>
  <si>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</si>
  <si>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</si>
  <si>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</si>
  <si>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</si>
  <si>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</si>
  <si>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</si>
  <si>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</si>
  <si>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</si>
  <si>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</si>
  <si>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</si>
  <si>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</si>
  <si>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</si>
  <si>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</si>
  <si>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</si>
  <si>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</si>
  <si>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</si>
  <si>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</si>
  <si>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</si>
  <si>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</si>
  <si>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</si>
  <si>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</si>
  <si>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</si>
  <si>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</si>
  <si>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</si>
  <si>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</si>
  <si>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</si>
  <si>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</si>
  <si>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</si>
  <si>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</si>
  <si>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</si>
  <si>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</si>
  <si>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</si>
  <si>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</si>
  <si>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</si>
  <si>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</si>
  <si>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</si>
  <si>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</si>
  <si>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</si>
  <si>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</si>
  <si>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</si>
  <si>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</si>
  <si>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</si>
  <si>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</si>
  <si>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</si>
  <si>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</si>
  <si>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</si>
  <si>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</si>
  <si>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</si>
  <si>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</si>
  <si>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</si>
  <si>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</si>
  <si>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</si>
  <si>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</si>
  <si>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</si>
  <si>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</si>
  <si>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</si>
  <si>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</si>
  <si>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</si>
  <si>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</si>
  <si>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</si>
  <si>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</si>
  <si>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</si>
  <si>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</si>
  <si>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</si>
  <si>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</si>
  <si>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</si>
  <si>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</si>
  <si>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</si>
  <si>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</si>
  <si>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</si>
  <si>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</si>
  <si>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</si>
  <si>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</si>
  <si>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</si>
  <si>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</si>
  <si>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</si>
  <si>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</si>
  <si>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</si>
  <si>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</si>
  <si>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</si>
  <si>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</si>
  <si>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</si>
  <si>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</si>
  <si>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</si>
  <si>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</si>
  <si>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</si>
  <si>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</si>
  <si>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</si>
  <si>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</si>
  <si>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</si>
  <si>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</si>
  <si>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</si>
  <si>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</si>
  <si>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</si>
  <si>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</si>
  <si>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</si>
  <si>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</si>
  <si>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</si>
  <si>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</si>
  <si>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</si>
  <si>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</si>
  <si>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</si>
  <si>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</si>
  <si>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</si>
  <si>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</si>
  <si>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</si>
  <si>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</si>
  <si>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</si>
  <si>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</si>
  <si>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</si>
  <si>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</si>
  <si>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</si>
  <si>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</si>
  <si>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</si>
  <si>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</si>
  <si>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</si>
  <si>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</si>
  <si>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Oct 14: 4 of 5 T3 L5 nodes done. Last 2 after Iso Fest milestone 24</t>
  </si>
  <si>
    <t xml:space="preserve">Mephisto to gear tier 20</t>
  </si>
  <si>
    <t xml:space="preserve">5 of 6 pieces. Last needs store crimson and geodes</t>
  </si>
  <si>
    <t xml:space="preserve">Mephisto to level 107</t>
  </si>
  <si>
    <t xml:space="preserve">Oct 14</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</si>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</sst>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923318350</v>
      </c>
      <c r="D6" s="15" t="s">
        <v>242</v>
      </c>
      <c r="E6" s="19" t="n">
        <f aca="false">B6+Scoring!F51</f>
        <v>6096818350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51681650</v>
      </c>
    </row>
    <row r="10" customFormat="false" ht="15" hidden="false" customHeight="false" outlineLevel="0" collapsed="false">
      <c r="A10" s="15" t="s">
        <v>246</v>
      </c>
      <c r="B10" s="19" t="n">
        <f aca="false">MAX(0,B76-B6)</f>
        <v>3201681650</v>
      </c>
    </row>
    <row r="11" customFormat="false" ht="15" hidden="false" customHeight="false" outlineLevel="0" collapsed="false">
      <c r="A11" s="15" t="s">
        <v>247</v>
      </c>
      <c r="B11" s="19" t="n">
        <f aca="true">IFERROR(B10/MAX(B5-NOW(),0.01),0)</f>
        <v>822431989.932211</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51681650</v>
      </c>
      <c r="F63" s="10" t="s">
        <v>185</v>
      </c>
    </row>
    <row r="64" customFormat="false" ht="15" hidden="false" customHeight="false" outlineLevel="0" collapsed="false">
      <c r="A64" s="25" t="n">
        <v>52</v>
      </c>
      <c r="B64" s="13" t="n">
        <v>1050000000</v>
      </c>
      <c r="C64" s="11" t="s">
        <v>299</v>
      </c>
      <c r="D64" s="11"/>
      <c r="E64" s="23" t="n">
        <f aca="false">IF(B64="","",MAX(0,B64-$B$6))</f>
        <v>126681650</v>
      </c>
      <c r="F64" s="10" t="s">
        <v>185</v>
      </c>
    </row>
    <row r="65" customFormat="false" ht="15" hidden="false" customHeight="false" outlineLevel="0" collapsed="false">
      <c r="A65" s="25" t="n">
        <v>53</v>
      </c>
      <c r="B65" s="13" t="n">
        <v>1125000000</v>
      </c>
      <c r="C65" s="11" t="s">
        <v>300</v>
      </c>
      <c r="D65" s="11"/>
      <c r="E65" s="23" t="n">
        <f aca="false">IF(B65="","",MAX(0,B65-$B$6))</f>
        <v>201681650</v>
      </c>
      <c r="F65" s="10" t="s">
        <v>185</v>
      </c>
    </row>
    <row r="66" customFormat="false" ht="15" hidden="false" customHeight="false" outlineLevel="0" collapsed="false">
      <c r="A66" s="25" t="n">
        <v>54</v>
      </c>
      <c r="B66" s="13" t="n">
        <v>1200000000</v>
      </c>
      <c r="C66" s="11" t="s">
        <v>301</v>
      </c>
      <c r="D66" s="11"/>
      <c r="E66" s="23" t="n">
        <f aca="false">IF(B66="","",MAX(0,B66-$B$6))</f>
        <v>276681650</v>
      </c>
      <c r="F66" s="10" t="s">
        <v>185</v>
      </c>
    </row>
    <row r="67" customFormat="false" ht="15" hidden="false" customHeight="false" outlineLevel="0" collapsed="false">
      <c r="A67" s="25" t="n">
        <v>55</v>
      </c>
      <c r="B67" s="13" t="n">
        <v>1350000000</v>
      </c>
      <c r="C67" s="11" t="s">
        <v>302</v>
      </c>
      <c r="D67" s="11"/>
      <c r="E67" s="23" t="n">
        <f aca="false">IF(B67="","",MAX(0,B67-$B$6))</f>
        <v>426681650</v>
      </c>
      <c r="F67" s="10" t="s">
        <v>185</v>
      </c>
    </row>
    <row r="68" customFormat="false" ht="15" hidden="false" customHeight="false" outlineLevel="0" collapsed="false">
      <c r="A68" s="25" t="n">
        <v>56</v>
      </c>
      <c r="B68" s="13" t="n">
        <v>1500000000</v>
      </c>
      <c r="C68" s="11" t="s">
        <v>303</v>
      </c>
      <c r="D68" s="11"/>
      <c r="E68" s="23" t="n">
        <f aca="false">IF(B68="","",MAX(0,B68-$B$6))</f>
        <v>576681650</v>
      </c>
      <c r="F68" s="10" t="s">
        <v>185</v>
      </c>
    </row>
    <row r="69" customFormat="false" ht="15" hidden="false" customHeight="false" outlineLevel="0" collapsed="false">
      <c r="A69" s="25" t="n">
        <v>57</v>
      </c>
      <c r="B69" s="13" t="n">
        <v>1650000000</v>
      </c>
      <c r="C69" s="11" t="s">
        <v>304</v>
      </c>
      <c r="D69" s="11"/>
      <c r="E69" s="23" t="n">
        <f aca="false">IF(B69="","",MAX(0,B69-$B$6))</f>
        <v>726681650</v>
      </c>
      <c r="F69" s="10" t="s">
        <v>185</v>
      </c>
    </row>
    <row r="70" customFormat="false" ht="15" hidden="false" customHeight="false" outlineLevel="0" collapsed="false">
      <c r="A70" s="25" t="n">
        <v>58</v>
      </c>
      <c r="B70" s="13" t="n">
        <v>1875000000</v>
      </c>
      <c r="C70" s="11" t="s">
        <v>305</v>
      </c>
      <c r="D70" s="11"/>
      <c r="E70" s="23" t="n">
        <f aca="false">IF(B70="","",MAX(0,B70-$B$6))</f>
        <v>951681650</v>
      </c>
      <c r="F70" s="10" t="s">
        <v>185</v>
      </c>
    </row>
    <row r="71" customFormat="false" ht="15" hidden="false" customHeight="false" outlineLevel="0" collapsed="false">
      <c r="A71" s="25" t="n">
        <v>59</v>
      </c>
      <c r="B71" s="13" t="n">
        <v>2250000000</v>
      </c>
      <c r="C71" s="11" t="s">
        <v>306</v>
      </c>
      <c r="D71" s="11"/>
      <c r="E71" s="23" t="n">
        <f aca="false">IF(B71="","",MAX(0,B71-$B$6))</f>
        <v>1326681650</v>
      </c>
      <c r="F71" s="10" t="s">
        <v>185</v>
      </c>
    </row>
    <row r="72" customFormat="false" ht="15" hidden="false" customHeight="false" outlineLevel="0" collapsed="false">
      <c r="A72" s="25" t="n">
        <v>60</v>
      </c>
      <c r="B72" s="13" t="n">
        <v>2625000000</v>
      </c>
      <c r="C72" s="11" t="s">
        <v>307</v>
      </c>
      <c r="D72" s="11"/>
      <c r="E72" s="23" t="n">
        <f aca="false">IF(B72="","",MAX(0,B72-$B$6))</f>
        <v>1701681650</v>
      </c>
      <c r="F72" s="10" t="s">
        <v>185</v>
      </c>
    </row>
    <row r="73" customFormat="false" ht="15" hidden="false" customHeight="false" outlineLevel="0" collapsed="false">
      <c r="A73" s="25" t="n">
        <v>61</v>
      </c>
      <c r="B73" s="13" t="n">
        <v>3000000000</v>
      </c>
      <c r="C73" s="11" t="s">
        <v>308</v>
      </c>
      <c r="D73" s="11"/>
      <c r="E73" s="23" t="n">
        <f aca="false">IF(B73="","",MAX(0,B73-$B$6))</f>
        <v>2076681650</v>
      </c>
      <c r="F73" s="10" t="s">
        <v>185</v>
      </c>
    </row>
    <row r="74" customFormat="false" ht="15" hidden="false" customHeight="false" outlineLevel="0" collapsed="false">
      <c r="A74" s="25" t="n">
        <v>62</v>
      </c>
      <c r="B74" s="13" t="n">
        <v>3375000000</v>
      </c>
      <c r="C74" s="11" t="s">
        <v>309</v>
      </c>
      <c r="D74" s="11"/>
      <c r="E74" s="23" t="n">
        <f aca="false">IF(B74="","",MAX(0,B74-$B$6))</f>
        <v>2451681650</v>
      </c>
      <c r="F74" s="10" t="s">
        <v>185</v>
      </c>
    </row>
    <row r="75" customFormat="false" ht="15" hidden="false" customHeight="false" outlineLevel="0" collapsed="false">
      <c r="A75" s="25" t="n">
        <v>63</v>
      </c>
      <c r="B75" s="13" t="n">
        <v>3750000000</v>
      </c>
      <c r="C75" s="11" t="s">
        <v>310</v>
      </c>
      <c r="D75" s="11"/>
      <c r="E75" s="23" t="n">
        <f aca="false">IF(B75="","",MAX(0,B75-$B$6))</f>
        <v>2826681650</v>
      </c>
      <c r="F75" s="10" t="s">
        <v>185</v>
      </c>
    </row>
    <row r="76" customFormat="false" ht="15" hidden="false" customHeight="false" outlineLevel="0" collapsed="false">
      <c r="A76" s="25" t="n">
        <v>64</v>
      </c>
      <c r="B76" s="13" t="n">
        <v>4125000000</v>
      </c>
      <c r="C76" s="11" t="s">
        <v>311</v>
      </c>
      <c r="D76" s="11"/>
      <c r="E76" s="23" t="n">
        <f aca="false">IF(B76="","",MAX(0,B76-$B$6))</f>
        <v>3201681650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95668350</v>
      </c>
      <c r="F7" s="21" t="n">
        <f aca="false">IF(ISNUMBER(D7),MAX(0,D7-E7),0)</f>
        <v>904331650</v>
      </c>
      <c r="G7" s="21" t="n">
        <f aca="false">IF(ISNUMBER(D7),ROUNDUP(D7/C7,0),"No limit")</f>
        <v>1000000000</v>
      </c>
      <c r="H7" s="21" t="n">
        <f aca="false">IFERROR(INT(E7/C7),0)</f>
        <v>95668350</v>
      </c>
      <c r="I7" s="21" t="n">
        <f aca="false">IFERROR(ROUNDUP(F7/C7,0),0)</f>
        <v>904331650</v>
      </c>
      <c r="J7" s="10" t="s">
        <v>330</v>
      </c>
    </row>
    <row r="8" customFormat="false" ht="15" hidden="false" customHeight="false" outlineLevel="0" collapsed="false">
      <c r="A8" s="11" t="s">
        <v>328</v>
      </c>
      <c r="B8" s="11" t="s">
        <v>331</v>
      </c>
      <c r="C8" s="13" t="n">
        <v>4000</v>
      </c>
      <c r="D8" s="13" t="n">
        <v>1000000000</v>
      </c>
      <c r="E8" s="24" t="n">
        <v>38800000</v>
      </c>
      <c r="F8" s="21" t="n">
        <f aca="false">IF(ISNUMBER(D8),MAX(0,D8-E8),0)</f>
        <v>961200000</v>
      </c>
      <c r="G8" s="21" t="n">
        <f aca="false">IF(ISNUMBER(D8),ROUNDUP(D8/C8,0),"No limit")</f>
        <v>250000</v>
      </c>
      <c r="H8" s="21" t="n">
        <f aca="false">IFERROR(INT(E8/C8),0)</f>
        <v>9700</v>
      </c>
      <c r="I8" s="21" t="n">
        <f aca="false">IFERROR(ROUNDUP(F8/C8,0),0)</f>
        <v>240300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898218350</v>
      </c>
      <c r="F49" s="19"/>
    </row>
    <row r="50" customFormat="false" ht="15" hidden="false" customHeight="false" outlineLevel="0" collapsed="false">
      <c r="B50" s="15" t="s">
        <v>378</v>
      </c>
      <c r="E50" s="19"/>
      <c r="F50" s="19" t="n">
        <f aca="false">SUM(F5:F47)</f>
        <v>7039031650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7850000</v>
      </c>
      <c r="C5" s="26" t="n">
        <v>44100</v>
      </c>
      <c r="D5" s="26" t="n">
        <v>7448000</v>
      </c>
      <c r="E5" s="26" t="n">
        <v>16307000</v>
      </c>
      <c r="F5" s="26" t="n">
        <v>293</v>
      </c>
      <c r="G5" s="26" t="n">
        <v>688</v>
      </c>
      <c r="H5" s="26" t="n">
        <v>231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24600000</v>
      </c>
      <c r="C7" s="27" t="n">
        <f aca="false">C5+C6</f>
        <v>494100</v>
      </c>
      <c r="D7" s="27" t="n">
        <f aca="false">D5+D6</f>
        <v>8334000</v>
      </c>
      <c r="E7" s="27" t="n">
        <f aca="false">E5+E6</f>
        <v>17193000</v>
      </c>
      <c r="F7" s="27" t="n">
        <f aca="false">F5+F6</f>
        <v>293</v>
      </c>
      <c r="G7" s="27" t="n">
        <f aca="false">G5+G6</f>
        <v>788</v>
      </c>
      <c r="H7" s="27" t="n">
        <f aca="false">H5+H6</f>
        <v>316</v>
      </c>
    </row>
    <row r="8" customFormat="false" ht="15" hidden="false" customHeight="false" outlineLevel="0" collapsed="false">
      <c r="A8" s="15" t="s">
        <v>394</v>
      </c>
      <c r="B8" s="27" t="n">
        <f aca="false">SUMIF($J$85:$J$115,"Planned",B85:B115)</f>
        <v>3312000</v>
      </c>
      <c r="C8" s="27" t="n">
        <f aca="false">SUMIF($J$85:$J$115,"Planned",C85:C115)</f>
        <v>0</v>
      </c>
      <c r="D8" s="27" t="n">
        <f aca="false">SUMIF($J$85:$J$115,"Planned",D85:D115)</f>
        <v>0</v>
      </c>
      <c r="E8" s="27" t="n">
        <f aca="false">SUMIF($J$85:$J$115,"Planned",E85:E115)</f>
        <v>0</v>
      </c>
      <c r="F8" s="27" t="n">
        <f aca="false">SUMIF($J$85:$J$115,"Planned",F85:F115)</f>
        <v>0</v>
      </c>
      <c r="G8" s="27" t="n">
        <f aca="false">SUMIF($J$85:$J$115,"Planned",G85:G115)</f>
        <v>0</v>
      </c>
      <c r="H8" s="27" t="n">
        <f aca="false">SUMIF($J$85:$J$115,"Planned",H85:H115)</f>
        <v>0</v>
      </c>
    </row>
    <row r="9" customFormat="false" ht="15" hidden="false" customHeight="false" outlineLevel="0" collapsed="false">
      <c r="A9" s="15" t="s">
        <v>395</v>
      </c>
      <c r="B9" s="28" t="n">
        <f aca="false">B7-B8</f>
        <v>21288000</v>
      </c>
      <c r="C9" s="28" t="n">
        <f aca="false">C7-C8</f>
        <v>494100</v>
      </c>
      <c r="D9" s="28" t="n">
        <f aca="false">D7-D8</f>
        <v>8334000</v>
      </c>
      <c r="E9" s="28" t="n">
        <f aca="false">E7-E8</f>
        <v>17193000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495950</v>
      </c>
      <c r="C69" s="29" t="n">
        <v>0</v>
      </c>
      <c r="D69" s="29" t="n">
        <v>0</v>
      </c>
      <c r="E69" s="29" t="n">
        <v>0</v>
      </c>
      <c r="F69" s="29" t="n">
        <v>104</v>
      </c>
      <c r="G69" s="29" t="n">
        <v>232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0</v>
      </c>
      <c r="C104" s="29" t="n">
        <v>1710500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1370000</v>
      </c>
      <c r="D105" s="29" t="n">
        <v>1370000</v>
      </c>
      <c r="E105" s="29" t="n">
        <v>2130000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1710000</v>
      </c>
      <c r="D107" s="29" t="n">
        <v>1710000</v>
      </c>
      <c r="E107" s="29" t="n">
        <v>2640000</v>
      </c>
      <c r="F107" s="29" t="n">
        <v>0</v>
      </c>
      <c r="G107" s="29" t="n">
        <v>0</v>
      </c>
      <c r="H107" s="29" t="n">
        <v>0</v>
      </c>
      <c r="I107" s="29" t="n">
        <v>17000000</v>
      </c>
      <c r="J107" s="10" t="s">
        <v>494</v>
      </c>
      <c r="K107" s="14" t="s">
        <v>538</v>
      </c>
    </row>
    <row r="108" customFormat="false" ht="15" hidden="false" customHeight="false" outlineLevel="0" collapsed="false">
      <c r="A108" s="11" t="s">
        <v>520</v>
      </c>
      <c r="B108" s="29" t="n">
        <v>0</v>
      </c>
      <c r="C108" s="26"/>
      <c r="D108" s="26"/>
      <c r="E108" s="26"/>
      <c r="F108" s="29" t="n">
        <v>0</v>
      </c>
      <c r="G108" s="29" t="n">
        <v>0</v>
      </c>
      <c r="H108" s="29" t="n">
        <v>0</v>
      </c>
      <c r="I108" s="29" t="n">
        <v>17000000</v>
      </c>
      <c r="J108" s="10" t="s">
        <v>501</v>
      </c>
      <c r="K108" s="14" t="s">
        <v>513</v>
      </c>
    </row>
    <row r="109" customFormat="false" ht="15" hidden="false" customHeight="false" outlineLevel="0" collapsed="false">
      <c r="A109" s="11" t="s">
        <v>539</v>
      </c>
      <c r="B109" s="29" t="n">
        <v>13000000</v>
      </c>
      <c r="C109" s="29" t="n">
        <v>0</v>
      </c>
      <c r="D109" s="29" t="n">
        <v>0</v>
      </c>
      <c r="E109" s="29" t="n">
        <v>0</v>
      </c>
      <c r="F109" s="26"/>
      <c r="G109" s="26"/>
      <c r="H109" s="26"/>
      <c r="I109" s="29" t="n">
        <v>8000000</v>
      </c>
      <c r="J109" s="10" t="s">
        <v>501</v>
      </c>
      <c r="K109" s="14" t="s">
        <v>540</v>
      </c>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7" customFormat="false" ht="15" hidden="false" customHeight="false" outlineLevel="0" collapsed="false">
      <c r="A117" s="15" t="s">
        <v>541</v>
      </c>
      <c r="I117" s="19" t="n">
        <f aca="false">SUMIF(J85:J115,"Planned",I85:I115)</f>
        <v>20000000</v>
      </c>
    </row>
  </sheetData>
  <conditionalFormatting sqref="B9:H9">
    <cfRule type="cellIs" priority="2" operator="lessThan" aboveAverage="0" equalAverage="0" bottom="0" percent="0" rank="0" text="" dxfId="13">
      <formula>0</formula>
    </cfRule>
  </conditionalFormatting>
  <conditionalFormatting sqref="J85:J115">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5"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542</v>
      </c>
    </row>
    <row r="2" customFormat="false" ht="15" hidden="false" customHeight="false" outlineLevel="0" collapsed="false">
      <c r="A2" s="2" t="s">
        <v>543</v>
      </c>
    </row>
    <row r="4" customFormat="false" ht="26.85" hidden="false" customHeight="false" outlineLevel="0" collapsed="false">
      <c r="A4" s="3" t="s">
        <v>315</v>
      </c>
      <c r="B4" s="3" t="s">
        <v>314</v>
      </c>
      <c r="C4" s="3" t="s">
        <v>384</v>
      </c>
      <c r="D4" s="3" t="s">
        <v>544</v>
      </c>
      <c r="E4" s="3" t="s">
        <v>545</v>
      </c>
      <c r="F4" s="3" t="s">
        <v>546</v>
      </c>
      <c r="G4" s="3" t="s">
        <v>547</v>
      </c>
      <c r="H4" s="3" t="s">
        <v>548</v>
      </c>
      <c r="I4" s="3" t="s">
        <v>549</v>
      </c>
      <c r="J4" s="3" t="s">
        <v>550</v>
      </c>
      <c r="K4" s="3" t="s">
        <v>551</v>
      </c>
      <c r="L4" s="3" t="s">
        <v>552</v>
      </c>
    </row>
    <row r="5" customFormat="false" ht="15" hidden="false" customHeight="false" outlineLevel="0" collapsed="false">
      <c r="A5" s="30" t="s">
        <v>553</v>
      </c>
    </row>
    <row r="6" customFormat="false" ht="15" hidden="false" customHeight="false" outlineLevel="0" collapsed="false">
      <c r="A6" s="12" t="s">
        <v>554</v>
      </c>
      <c r="B6" s="12" t="s">
        <v>555</v>
      </c>
      <c r="C6" s="23" t="n">
        <v>25000</v>
      </c>
      <c r="D6" s="14" t="s">
        <v>556</v>
      </c>
      <c r="E6" s="31" t="s">
        <v>494</v>
      </c>
      <c r="F6" s="31" t="s">
        <v>494</v>
      </c>
      <c r="G6" s="31" t="s">
        <v>494</v>
      </c>
      <c r="H6" s="31" t="s">
        <v>494</v>
      </c>
      <c r="I6" s="31"/>
      <c r="J6" s="31"/>
      <c r="K6" s="31"/>
      <c r="L6" s="31"/>
    </row>
    <row r="7" customFormat="false" ht="15" hidden="false" customHeight="false" outlineLevel="0" collapsed="false">
      <c r="A7" s="12" t="s">
        <v>557</v>
      </c>
      <c r="B7" s="12" t="s">
        <v>555</v>
      </c>
      <c r="C7" s="23" t="n">
        <v>25000</v>
      </c>
      <c r="D7" s="14" t="s">
        <v>558</v>
      </c>
      <c r="E7" s="31" t="s">
        <v>494</v>
      </c>
      <c r="F7" s="31" t="s">
        <v>494</v>
      </c>
      <c r="G7" s="31" t="s">
        <v>494</v>
      </c>
      <c r="H7" s="31" t="s">
        <v>494</v>
      </c>
      <c r="I7" s="31"/>
      <c r="J7" s="31"/>
      <c r="K7" s="31"/>
      <c r="L7" s="31"/>
    </row>
    <row r="8" customFormat="false" ht="15" hidden="false" customHeight="false" outlineLevel="0" collapsed="false">
      <c r="A8" s="12" t="s">
        <v>559</v>
      </c>
      <c r="B8" s="12" t="s">
        <v>555</v>
      </c>
      <c r="C8" s="23" t="n">
        <v>50000</v>
      </c>
      <c r="D8" s="14" t="s">
        <v>560</v>
      </c>
      <c r="E8" s="31" t="s">
        <v>494</v>
      </c>
      <c r="F8" s="31" t="s">
        <v>494</v>
      </c>
      <c r="G8" s="31" t="s">
        <v>494</v>
      </c>
      <c r="H8" s="31" t="s">
        <v>494</v>
      </c>
      <c r="I8" s="31"/>
      <c r="J8" s="31"/>
      <c r="K8" s="31"/>
      <c r="L8" s="31"/>
    </row>
    <row r="9" customFormat="false" ht="15" hidden="false" customHeight="false" outlineLevel="0" collapsed="false">
      <c r="A9" s="12" t="s">
        <v>561</v>
      </c>
      <c r="B9" s="12" t="s">
        <v>555</v>
      </c>
      <c r="C9" s="23" t="n">
        <v>50000</v>
      </c>
      <c r="D9" s="14" t="s">
        <v>562</v>
      </c>
      <c r="E9" s="31" t="s">
        <v>494</v>
      </c>
      <c r="F9" s="31" t="s">
        <v>494</v>
      </c>
      <c r="G9" s="31" t="s">
        <v>494</v>
      </c>
      <c r="H9" s="31" t="s">
        <v>494</v>
      </c>
      <c r="I9" s="31"/>
      <c r="J9" s="31"/>
      <c r="K9" s="31"/>
      <c r="L9" s="31"/>
    </row>
    <row r="10" customFormat="false" ht="15" hidden="false" customHeight="false" outlineLevel="0" collapsed="false">
      <c r="A10" s="12" t="s">
        <v>563</v>
      </c>
      <c r="B10" s="12" t="s">
        <v>555</v>
      </c>
      <c r="C10" s="23" t="n">
        <v>50000</v>
      </c>
      <c r="D10" s="14" t="s">
        <v>560</v>
      </c>
      <c r="E10" s="31" t="s">
        <v>494</v>
      </c>
      <c r="F10" s="31" t="s">
        <v>494</v>
      </c>
      <c r="G10" s="31" t="s">
        <v>494</v>
      </c>
      <c r="H10" s="31" t="s">
        <v>494</v>
      </c>
      <c r="I10" s="31"/>
      <c r="J10" s="31"/>
      <c r="K10" s="31"/>
      <c r="L10" s="31"/>
    </row>
    <row r="11" customFormat="false" ht="15" hidden="false" customHeight="false" outlineLevel="0" collapsed="false">
      <c r="A11" s="12" t="s">
        <v>564</v>
      </c>
      <c r="B11" s="12" t="s">
        <v>555</v>
      </c>
      <c r="C11" s="23" t="n">
        <v>25000</v>
      </c>
      <c r="D11" s="14" t="s">
        <v>560</v>
      </c>
      <c r="E11" s="31" t="s">
        <v>494</v>
      </c>
      <c r="F11" s="31" t="s">
        <v>494</v>
      </c>
      <c r="G11" s="31" t="s">
        <v>494</v>
      </c>
      <c r="H11" s="31" t="s">
        <v>494</v>
      </c>
      <c r="I11" s="31"/>
      <c r="J11" s="31"/>
      <c r="K11" s="31"/>
      <c r="L11" s="31"/>
    </row>
    <row r="12" customFormat="false" ht="15" hidden="false" customHeight="false" outlineLevel="0" collapsed="false">
      <c r="A12" s="12" t="s">
        <v>565</v>
      </c>
      <c r="B12" s="12" t="s">
        <v>555</v>
      </c>
      <c r="C12" s="23" t="n">
        <v>25000</v>
      </c>
      <c r="D12" s="14" t="s">
        <v>566</v>
      </c>
      <c r="E12" s="31" t="s">
        <v>494</v>
      </c>
      <c r="F12" s="31" t="s">
        <v>494</v>
      </c>
      <c r="G12" s="31" t="s">
        <v>494</v>
      </c>
      <c r="H12" s="31" t="s">
        <v>494</v>
      </c>
      <c r="I12" s="31"/>
      <c r="J12" s="31"/>
      <c r="K12" s="31"/>
      <c r="L12" s="31"/>
    </row>
    <row r="13" customFormat="false" ht="15" hidden="false" customHeight="false" outlineLevel="0" collapsed="false">
      <c r="A13" s="12" t="s">
        <v>567</v>
      </c>
      <c r="B13" s="12" t="s">
        <v>555</v>
      </c>
      <c r="C13" s="23" t="n">
        <v>25000</v>
      </c>
      <c r="D13" s="14" t="s">
        <v>560</v>
      </c>
      <c r="E13" s="31" t="s">
        <v>494</v>
      </c>
      <c r="F13" s="31" t="s">
        <v>494</v>
      </c>
      <c r="G13" s="31" t="s">
        <v>494</v>
      </c>
      <c r="H13" s="31" t="s">
        <v>494</v>
      </c>
      <c r="I13" s="31"/>
      <c r="J13" s="31"/>
      <c r="K13" s="31"/>
      <c r="L13" s="31"/>
    </row>
    <row r="14" customFormat="false" ht="15" hidden="false" customHeight="false" outlineLevel="0" collapsed="false">
      <c r="A14" s="12" t="s">
        <v>568</v>
      </c>
      <c r="B14" s="12" t="s">
        <v>555</v>
      </c>
      <c r="C14" s="23" t="n">
        <v>50000</v>
      </c>
      <c r="D14" s="14" t="s">
        <v>569</v>
      </c>
      <c r="E14" s="31" t="s">
        <v>494</v>
      </c>
      <c r="F14" s="31" t="s">
        <v>494</v>
      </c>
      <c r="G14" s="31" t="s">
        <v>494</v>
      </c>
      <c r="H14" s="31" t="s">
        <v>494</v>
      </c>
      <c r="I14" s="31"/>
      <c r="J14" s="31"/>
      <c r="K14" s="31"/>
      <c r="L14" s="31"/>
    </row>
    <row r="15" customFormat="false" ht="15" hidden="false" customHeight="false" outlineLevel="0" collapsed="false">
      <c r="A15" s="12" t="s">
        <v>570</v>
      </c>
      <c r="B15" s="12" t="s">
        <v>555</v>
      </c>
      <c r="C15" s="23" t="n">
        <v>50000</v>
      </c>
      <c r="D15" s="14" t="s">
        <v>560</v>
      </c>
      <c r="E15" s="31" t="s">
        <v>494</v>
      </c>
      <c r="F15" s="31" t="s">
        <v>494</v>
      </c>
      <c r="G15" s="31" t="s">
        <v>494</v>
      </c>
      <c r="H15" s="31" t="s">
        <v>494</v>
      </c>
      <c r="I15" s="31"/>
      <c r="J15" s="31"/>
      <c r="K15" s="31"/>
      <c r="L15" s="31"/>
    </row>
    <row r="16" customFormat="false" ht="15" hidden="false" customHeight="false" outlineLevel="0" collapsed="false">
      <c r="A16" s="12" t="s">
        <v>571</v>
      </c>
      <c r="B16" s="12" t="s">
        <v>555</v>
      </c>
      <c r="C16" s="23" t="n">
        <v>1000000</v>
      </c>
      <c r="D16" s="14" t="s">
        <v>572</v>
      </c>
      <c r="E16" s="31" t="s">
        <v>494</v>
      </c>
      <c r="F16" s="31" t="s">
        <v>494</v>
      </c>
      <c r="G16" s="31" t="s">
        <v>494</v>
      </c>
      <c r="H16" s="31" t="s">
        <v>494</v>
      </c>
      <c r="I16" s="31"/>
      <c r="J16" s="31"/>
      <c r="K16" s="31"/>
      <c r="L16" s="31"/>
    </row>
    <row r="17" customFormat="false" ht="15" hidden="false" customHeight="false" outlineLevel="0" collapsed="false">
      <c r="A17" s="12" t="s">
        <v>573</v>
      </c>
      <c r="B17" s="12" t="s">
        <v>574</v>
      </c>
      <c r="C17" s="23" t="n">
        <v>100000</v>
      </c>
      <c r="D17" s="14" t="s">
        <v>575</v>
      </c>
      <c r="E17" s="31"/>
      <c r="F17" s="31" t="s">
        <v>494</v>
      </c>
      <c r="G17" s="31" t="s">
        <v>494</v>
      </c>
      <c r="H17" s="31" t="s">
        <v>494</v>
      </c>
      <c r="I17" s="31"/>
      <c r="J17" s="31"/>
      <c r="K17" s="31"/>
      <c r="L17" s="31"/>
    </row>
    <row r="18" customFormat="false" ht="15" hidden="false" customHeight="false" outlineLevel="0" collapsed="false">
      <c r="A18" s="12" t="s">
        <v>576</v>
      </c>
      <c r="B18" s="12" t="s">
        <v>574</v>
      </c>
      <c r="C18" s="23" t="n">
        <v>25000</v>
      </c>
      <c r="D18" s="14" t="s">
        <v>577</v>
      </c>
      <c r="E18" s="31" t="s">
        <v>494</v>
      </c>
      <c r="F18" s="31"/>
      <c r="G18" s="31"/>
      <c r="H18" s="31" t="s">
        <v>494</v>
      </c>
      <c r="I18" s="31"/>
      <c r="J18" s="31"/>
      <c r="K18" s="31"/>
      <c r="L18" s="31"/>
    </row>
    <row r="19" customFormat="false" ht="15" hidden="false" customHeight="false" outlineLevel="0" collapsed="false">
      <c r="A19" s="12" t="s">
        <v>578</v>
      </c>
      <c r="B19" s="12" t="s">
        <v>574</v>
      </c>
      <c r="C19" s="23" t="n">
        <v>25000</v>
      </c>
      <c r="D19" s="14" t="s">
        <v>579</v>
      </c>
      <c r="E19" s="31" t="s">
        <v>494</v>
      </c>
      <c r="F19" s="31" t="s">
        <v>494</v>
      </c>
      <c r="G19" s="31" t="s">
        <v>494</v>
      </c>
      <c r="H19" s="31" t="s">
        <v>494</v>
      </c>
      <c r="I19" s="31"/>
      <c r="J19" s="31"/>
      <c r="K19" s="31"/>
      <c r="L19" s="31"/>
    </row>
    <row r="20" customFormat="false" ht="15" hidden="false" customHeight="false" outlineLevel="0" collapsed="false">
      <c r="A20" s="12" t="s">
        <v>580</v>
      </c>
      <c r="B20" s="12" t="s">
        <v>574</v>
      </c>
      <c r="C20" s="23" t="n">
        <v>75000</v>
      </c>
      <c r="D20" s="14" t="s">
        <v>581</v>
      </c>
      <c r="E20" s="31" t="s">
        <v>494</v>
      </c>
      <c r="F20" s="31" t="s">
        <v>494</v>
      </c>
      <c r="G20" s="31" t="s">
        <v>494</v>
      </c>
      <c r="H20" s="31"/>
      <c r="I20" s="31"/>
      <c r="J20" s="31"/>
      <c r="K20" s="31"/>
      <c r="L20" s="31"/>
    </row>
    <row r="21" customFormat="false" ht="15" hidden="false" customHeight="false" outlineLevel="0" collapsed="false">
      <c r="A21" s="30" t="s">
        <v>582</v>
      </c>
    </row>
    <row r="22" customFormat="false" ht="15" hidden="false" customHeight="false" outlineLevel="0" collapsed="false">
      <c r="A22" s="12" t="s">
        <v>583</v>
      </c>
      <c r="B22" s="12" t="s">
        <v>584</v>
      </c>
      <c r="C22" s="23" t="n">
        <v>0</v>
      </c>
      <c r="D22" s="14" t="s">
        <v>585</v>
      </c>
      <c r="E22" s="31" t="s">
        <v>494</v>
      </c>
      <c r="F22" s="31" t="s">
        <v>494</v>
      </c>
      <c r="G22" s="31" t="s">
        <v>494</v>
      </c>
      <c r="H22" s="31"/>
      <c r="I22" s="31"/>
      <c r="J22" s="31"/>
      <c r="K22" s="31"/>
      <c r="L22" s="31"/>
    </row>
    <row r="23" customFormat="false" ht="15" hidden="false" customHeight="false" outlineLevel="0" collapsed="false">
      <c r="A23" s="12" t="s">
        <v>586</v>
      </c>
      <c r="B23" s="12" t="s">
        <v>584</v>
      </c>
      <c r="C23" s="23" t="n">
        <v>0</v>
      </c>
      <c r="D23" s="14" t="s">
        <v>585</v>
      </c>
      <c r="E23" s="31"/>
      <c r="F23" s="31"/>
      <c r="G23" s="31"/>
      <c r="H23" s="31"/>
      <c r="I23" s="31"/>
      <c r="J23" s="31"/>
      <c r="K23" s="31"/>
      <c r="L23" s="31"/>
    </row>
    <row r="24" customFormat="false" ht="15" hidden="false" customHeight="false" outlineLevel="0" collapsed="false">
      <c r="A24" s="12" t="s">
        <v>587</v>
      </c>
      <c r="B24" s="12" t="s">
        <v>584</v>
      </c>
      <c r="C24" s="23" t="n">
        <v>0</v>
      </c>
      <c r="D24" s="14" t="s">
        <v>585</v>
      </c>
      <c r="E24" s="31"/>
      <c r="F24" s="31"/>
      <c r="G24" s="31"/>
      <c r="H24" s="31"/>
      <c r="I24" s="31"/>
      <c r="J24" s="31"/>
      <c r="K24" s="31"/>
      <c r="L24" s="31"/>
    </row>
    <row r="25" customFormat="false" ht="15" hidden="false" customHeight="false" outlineLevel="0" collapsed="false">
      <c r="A25" s="12" t="s">
        <v>588</v>
      </c>
      <c r="B25" s="12" t="s">
        <v>589</v>
      </c>
      <c r="C25" s="23" t="n">
        <v>900000</v>
      </c>
      <c r="D25" s="14" t="s">
        <v>590</v>
      </c>
      <c r="E25" s="31" t="s">
        <v>494</v>
      </c>
      <c r="F25" s="31" t="s">
        <v>494</v>
      </c>
      <c r="G25" s="31"/>
      <c r="H25" s="31"/>
      <c r="I25" s="31"/>
      <c r="J25" s="31"/>
      <c r="K25" s="31"/>
      <c r="L25" s="31"/>
    </row>
    <row r="26" customFormat="false" ht="15" hidden="false" customHeight="false" outlineLevel="0" collapsed="false">
      <c r="A26" s="12" t="s">
        <v>591</v>
      </c>
      <c r="B26" s="12" t="s">
        <v>589</v>
      </c>
      <c r="C26" s="23" t="n">
        <v>0</v>
      </c>
      <c r="D26" s="14" t="s">
        <v>592</v>
      </c>
      <c r="E26" s="31" t="s">
        <v>494</v>
      </c>
      <c r="F26" s="31"/>
      <c r="G26" s="31" t="s">
        <v>494</v>
      </c>
      <c r="H26" s="31"/>
      <c r="I26" s="31"/>
      <c r="J26" s="31"/>
      <c r="K26" s="31"/>
      <c r="L26" s="31"/>
    </row>
    <row r="27" customFormat="false" ht="15" hidden="false" customHeight="false" outlineLevel="0" collapsed="false">
      <c r="A27" s="12" t="s">
        <v>593</v>
      </c>
      <c r="B27" s="12" t="s">
        <v>594</v>
      </c>
      <c r="C27" s="23" t="n">
        <v>0</v>
      </c>
      <c r="D27" s="14" t="s">
        <v>595</v>
      </c>
      <c r="E27" s="31"/>
      <c r="F27" s="31"/>
      <c r="G27" s="31"/>
      <c r="H27" s="31"/>
      <c r="I27" s="31"/>
      <c r="J27" s="31"/>
      <c r="K27" s="31"/>
      <c r="L27" s="31"/>
    </row>
    <row r="28" customFormat="false" ht="15" hidden="false" customHeight="false" outlineLevel="0" collapsed="false">
      <c r="A28" s="12" t="s">
        <v>596</v>
      </c>
      <c r="B28" s="12" t="s">
        <v>597</v>
      </c>
      <c r="C28" s="23" t="n">
        <v>0</v>
      </c>
      <c r="D28" s="14" t="s">
        <v>598</v>
      </c>
      <c r="E28" s="31"/>
      <c r="F28" s="31"/>
      <c r="G28" s="31"/>
      <c r="H28" s="31"/>
      <c r="I28" s="31"/>
      <c r="J28" s="31"/>
      <c r="K28" s="31"/>
      <c r="L28" s="31"/>
    </row>
    <row r="29" customFormat="false" ht="15" hidden="false" customHeight="false" outlineLevel="0" collapsed="false">
      <c r="A29" s="30" t="s">
        <v>599</v>
      </c>
    </row>
    <row r="30" customFormat="false" ht="15" hidden="false" customHeight="false" outlineLevel="0" collapsed="false">
      <c r="A30" s="12" t="s">
        <v>600</v>
      </c>
      <c r="B30" s="12" t="s">
        <v>601</v>
      </c>
      <c r="C30" s="23" t="n">
        <v>0</v>
      </c>
      <c r="D30" s="14" t="s">
        <v>602</v>
      </c>
      <c r="E30" s="31"/>
      <c r="F30" s="31"/>
      <c r="G30" s="31"/>
      <c r="H30" s="31"/>
      <c r="I30" s="31"/>
      <c r="J30" s="31"/>
      <c r="K30" s="31"/>
      <c r="L30" s="31"/>
    </row>
    <row r="31" customFormat="false" ht="15" hidden="false" customHeight="false" outlineLevel="0" collapsed="false">
      <c r="A31" s="12" t="s">
        <v>603</v>
      </c>
      <c r="B31" s="12" t="s">
        <v>601</v>
      </c>
      <c r="C31" s="23" t="n">
        <v>0</v>
      </c>
      <c r="D31" s="14" t="s">
        <v>604</v>
      </c>
      <c r="E31" s="31"/>
      <c r="F31" s="31"/>
      <c r="G31" s="31"/>
      <c r="H31" s="31"/>
      <c r="I31" s="31"/>
      <c r="J31" s="31"/>
      <c r="K31" s="31"/>
      <c r="L31" s="31"/>
    </row>
    <row r="32" customFormat="false" ht="15" hidden="false" customHeight="false" outlineLevel="0" collapsed="false">
      <c r="A32" s="12" t="s">
        <v>605</v>
      </c>
      <c r="B32" s="12" t="s">
        <v>601</v>
      </c>
      <c r="C32" s="23" t="n">
        <v>0</v>
      </c>
      <c r="D32" s="14" t="s">
        <v>606</v>
      </c>
      <c r="E32" s="31"/>
      <c r="F32" s="31"/>
      <c r="G32" s="31"/>
      <c r="H32" s="31"/>
      <c r="I32" s="31"/>
      <c r="J32" s="31"/>
      <c r="K32" s="31"/>
      <c r="L32" s="31"/>
    </row>
    <row r="33" customFormat="false" ht="15" hidden="false" customHeight="false" outlineLevel="0" collapsed="false">
      <c r="A33" s="12" t="s">
        <v>607</v>
      </c>
      <c r="B33" s="12" t="s">
        <v>608</v>
      </c>
      <c r="C33" s="23" t="n">
        <v>0</v>
      </c>
      <c r="D33" s="14" t="s">
        <v>609</v>
      </c>
      <c r="E33" s="31" t="s">
        <v>494</v>
      </c>
      <c r="F33" s="31"/>
      <c r="G33" s="31"/>
      <c r="H33" s="31"/>
      <c r="I33" s="31"/>
      <c r="J33" s="31"/>
      <c r="K33" s="31"/>
      <c r="L33" s="31"/>
    </row>
    <row r="34" customFormat="false" ht="15" hidden="false" customHeight="false" outlineLevel="0" collapsed="false">
      <c r="A34" s="12" t="s">
        <v>610</v>
      </c>
      <c r="B34" s="12" t="s">
        <v>601</v>
      </c>
      <c r="C34" s="23" t="n">
        <v>0</v>
      </c>
      <c r="D34" s="14" t="s">
        <v>611</v>
      </c>
      <c r="E34" s="31"/>
      <c r="F34" s="31"/>
      <c r="G34" s="31"/>
      <c r="H34" s="31"/>
      <c r="I34" s="31"/>
      <c r="J34" s="31"/>
      <c r="K34" s="31"/>
      <c r="L34" s="31"/>
    </row>
    <row r="35" customFormat="false" ht="15" hidden="false" customHeight="false" outlineLevel="0" collapsed="false">
      <c r="A35" s="12" t="s">
        <v>612</v>
      </c>
      <c r="B35" s="12" t="s">
        <v>608</v>
      </c>
      <c r="C35" s="23" t="n">
        <v>0</v>
      </c>
      <c r="D35" s="14" t="s">
        <v>613</v>
      </c>
      <c r="E35" s="31"/>
      <c r="F35" s="31"/>
      <c r="G35" s="31"/>
      <c r="H35" s="31"/>
      <c r="I35" s="31"/>
      <c r="J35" s="31"/>
      <c r="K35" s="31"/>
      <c r="L35" s="31"/>
    </row>
    <row r="36" customFormat="false" ht="15" hidden="false" customHeight="false" outlineLevel="0" collapsed="false">
      <c r="A36" s="12" t="s">
        <v>614</v>
      </c>
      <c r="B36" s="12" t="s">
        <v>608</v>
      </c>
      <c r="C36" s="23" t="n">
        <v>0</v>
      </c>
      <c r="D36" s="14" t="s">
        <v>613</v>
      </c>
      <c r="E36" s="31"/>
      <c r="F36" s="31"/>
      <c r="G36" s="31"/>
      <c r="H36" s="31"/>
      <c r="I36" s="31"/>
      <c r="J36" s="31"/>
      <c r="K36" s="31"/>
      <c r="L36" s="31"/>
    </row>
    <row r="37" customFormat="false" ht="15" hidden="false" customHeight="false" outlineLevel="0" collapsed="false">
      <c r="A37" s="12" t="s">
        <v>615</v>
      </c>
      <c r="B37" s="12" t="s">
        <v>601</v>
      </c>
      <c r="C37" s="23" t="n">
        <v>0</v>
      </c>
      <c r="D37" s="14" t="s">
        <v>616</v>
      </c>
      <c r="E37" s="31"/>
      <c r="F37" s="31"/>
      <c r="G37" s="31"/>
      <c r="H37" s="31"/>
      <c r="I37" s="31"/>
      <c r="J37" s="31"/>
      <c r="K37" s="31"/>
      <c r="L37" s="31"/>
    </row>
    <row r="38" customFormat="false" ht="15" hidden="false" customHeight="false" outlineLevel="0" collapsed="false">
      <c r="A38" s="12" t="s">
        <v>617</v>
      </c>
      <c r="B38" s="12" t="s">
        <v>601</v>
      </c>
      <c r="C38" s="23" t="n">
        <v>0</v>
      </c>
      <c r="D38" s="14" t="s">
        <v>618</v>
      </c>
      <c r="E38" s="31"/>
      <c r="F38" s="31"/>
      <c r="G38" s="31"/>
      <c r="H38" s="31"/>
      <c r="I38" s="31"/>
      <c r="J38" s="31"/>
      <c r="K38" s="31"/>
      <c r="L38" s="31"/>
    </row>
    <row r="40" customFormat="false" ht="15" hidden="false" customHeight="false" outlineLevel="0" collapsed="false">
      <c r="A40" s="15" t="s">
        <v>619</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620</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2026-10-14T23:34:06Z</dcterms:created>
  <dc:creator>openpyxl</dc:creator>
  <dc:description/>
  <dc:language>en-US</dc:language>
  <cp:lastModifiedBy/>
  <dcterms:modified xsi:type="dcterms:W3CDTF">2026-10-14T23:34:07Z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