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<sst xmlns="http://schemas.openxmlformats.org/spreadsheetml/2006/main" count="1222" uniqueCount="640">
  <si>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</si>
  <si>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</si>
  <si>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</si>
  <si>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</si>
  <si>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</si>
  <si>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</si>
  <si>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</si>
  <si>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</si>
  <si>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</si>
  <si>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</si>
  <si>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</si>
  <si>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</si>
  <si>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</si>
  <si>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</si>
  <si>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</si>
  <si>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</si>
  <si>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</si>
  <si>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</si>
  <si>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</si>
  <si>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</si>
  <si>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</si>
  <si>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</si>
  <si>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</si>
  <si>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</si>
  <si>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</si>
  <si>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</si>
  <si>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</si>
  <si>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</si>
  <si>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</si>
  <si>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</si>
  <si>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</si>
  <si>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</si>
  <si>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</si>
  <si>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</si>
  <si>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</si>
  <si>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</si>
  <si>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</si>
  <si>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</si>
  <si>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</si>
  <si>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</si>
  <si>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</si>
  <si>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</si>
  <si>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</si>
  <si>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</si>
  <si>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</si>
  <si>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</si>
  <si>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</si>
  <si>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</si>
  <si>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</si>
  <si>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</si>
  <si>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</si>
  <si>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</si>
  <si>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</si>
  <si>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</si>
  <si>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</si>
  <si>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</si>
  <si>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</si>
  <si>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</si>
  <si>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</si>
  <si>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</si>
  <si>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</si>
  <si>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</si>
  <si>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</si>
  <si>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</si>
  <si>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</si>
  <si>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</si>
  <si>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</si>
  <si>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</si>
  <si>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</si>
  <si>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</si>
  <si>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</si>
  <si>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</si>
  <si>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</si>
  <si>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</si>
  <si>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</si>
  <si>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</si>
  <si>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</si>
  <si>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</si>
  <si>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</si>
  <si>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</si>
  <si>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</si>
  <si>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</si>
  <si>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</si>
  <si>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</si>
  <si>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</si>
  <si>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</si>
  <si>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</si>
  <si>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</si>
  <si>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</si>
  <si>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</si>
  <si>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</si>
  <si>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</si>
  <si>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</si>
  <si>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</si>
  <si>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</si>
  <si>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</si>
  <si>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</si>
  <si>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</si>
  <si>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</si>
  <si>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</si>
  <si>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</si>
  <si>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</si>
  <si>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</si>
  <si>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</si>
  <si>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</si>
  <si>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</si>
  <si>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</si>
  <si>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</si>
  <si>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</si>
  <si>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</si>
  <si>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</si>
  <si>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</si>
  <si>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</si>
  <si>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</si>
  <si>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</si>
  <si>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</si>
  <si>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</si>
  <si>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</si>
  <si>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</si>
  <si>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</si>
  <si>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</si>
  <si>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</si>
  <si>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</si>
  <si>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</si>
  <si>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</si>
  <si>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</si>
  <si>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</si>
  <si>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</si>
  <si>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</si>
  <si>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</si>
  <si>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</si>
  <si>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</si>
  <si>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</si>
  <si>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</si>
  <si>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</si>
  <si>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</si>
  <si>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</si>
  <si>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</si>
  <si>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</si>
  <si>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</si>
  <si>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</si>
  <si>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</si>
  <si>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</si>
  <si>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</si>
  <si>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</si>
  <si>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</si>
  <si>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</si>
  <si>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</si>
  <si>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</si>
  <si>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</si>
  <si>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</si>
  <si>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</si>
  <si>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</si>
  <si>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</si>
  <si>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</si>
  <si>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</si>
  <si>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</si>
  <si>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</si>
  <si>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</si>
  <si>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</si>
  <si>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</si>
  <si>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</si>
  <si>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</si>
  <si>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</si>
  <si>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</si>
  <si>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</si>
  <si>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</si>
  <si>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</si>
  <si>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</si>
  <si>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</si>
  <si>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</si>
  <si>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</si>
  <si>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</si>
  <si>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</si>
  <si>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</si>
  <si>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</si>
  <si>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</si>
  <si>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</si>
  <si>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</si>
  <si>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</si>
  <si>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</si>
  <si>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</si>
  <si>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</si>
  <si>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</si>
  <si>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</si>
  <si>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</si>
  <si>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</si>
  <si>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</si>
  <si>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</si>
  <si>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</si>
  <si>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</si>
  <si>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</si>
  <si>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</si>
  <si>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</si>
  <si>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</si>
  <si>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</si>
  <si>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</si>
  <si>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</si>
  <si>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</si>
  <si>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</si>
  <si>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</si>
  <si>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</si>
  <si>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</si>
  <si>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</si>
  <si>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</si>
  <si>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</si>
  <si>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</si>
  <si>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</si>
  <si>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</si>
  <si>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</si>
  <si>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</si>
  <si>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</si>
  <si>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</si>
  <si>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</si>
  <si>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</si>
  <si>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</si>
  <si>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</si>
  <si>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</si>
  <si>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</si>
  <si>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</si>
  <si>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</si>
  <si>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</si>
  <si>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</si>
  <si>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</si>
  <si>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</si>
  <si>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</si>
  <si>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</si>
  <si>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</si>
  <si>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</si>
  <si>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</si>
  <si>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</si>
  <si>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</si>
  <si>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</si>
  <si>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</si>
  <si>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</si>
  <si>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</si>
  <si>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</si>
  <si>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</si>
  <si>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</si>
  <si>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</si>
  <si>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</si>
  <si>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</si>
  <si>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</si>
  <si>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</si>
  <si>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</si>
  <si>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</si>
  <si>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</si>
  <si>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</si>
  <si>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</si>
  <si>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</si>
  <si>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</si>
  <si>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</si>
  <si>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</si>
  <si>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</si>
  <si>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</si>
  <si>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</si>
  <si>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</si>
  <si>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</si>
  <si>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</si>
  <si>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</si>
  <si>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</si>
  <si>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</si>
  <si>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</si>
  <si>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</si>
  <si>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</si>
  <si>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</si>
  <si>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</si>
  <si>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</si>
  <si>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</si>
  <si>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</si>
  <si>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</si>
  <si>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</si>
  <si>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</si>
  <si>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</si>
  <si>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</si>
  <si>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</si>
  <si>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</si>
  <si>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</si>
  <si>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</si>
  <si>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</si>
  <si>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</si>
  <si>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</si>
  <si>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</si>
  <si>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</si>
  <si>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</si>
  <si>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</si>
  <si>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</si>
  <si>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</si>
  <si>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</si>
  <si>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</si>
  <si>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</si>
  <si>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</si>
  <si>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</si>
  <si>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</si>
  <si>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</si>
  <si>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</si>
  <si>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</si>
  <si>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</si>
  <si>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</si>
  <si>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</si>
  <si>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</si>
  <si>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</si>
  <si>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</si>
  <si>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</si>
  <si>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</si>
  <si>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</si>
  <si>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</si>
  <si>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</si>
  <si>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</si>
  <si>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</si>
  <si>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</si>
  <si>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</si>
  <si>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</si>
  <si>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</si>
  <si>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</si>
  <si>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</si>
  <si>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</si>
  <si>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</si>
  <si>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</si>
  <si>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</si>
  <si>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</si>
  <si>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</si>
  <si>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</si>
  <si>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</si>
  <si>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</si>
  <si>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</si>
  <si>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</si>
  <si>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</si>
  <si>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</si>
  <si>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</si>
  <si>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</si>
  <si>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</si>
  <si>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</si>
  <si>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</si>
  <si>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</si>
  <si>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</si>
  <si>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</si>
  <si>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</si>
  <si>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</si>
  <si>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</si>
  <si>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</si>
  <si>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</si>
  <si>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</si>
  <si>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</si>
  <si>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</si>
  <si>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</si>
  <si>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</si>
  <si>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</si>
  <si>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</si>
  <si>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</si>
  <si>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</si>
  <si>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</si>
  <si>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</si>
  <si>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</si>
  <si>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</si>
  <si>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</si>
  <si>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</si>
  <si>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</si>
  <si>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</si>
  <si>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</si>
  <si>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</si>
  <si>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</si>
  <si>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</si>
  <si>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</si>
  <si>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</si>
  <si>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</si>
  <si>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</si>
  <si>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</si>
  <si>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</si>
  <si>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</si>
  <si>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</si>
  <si>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</si>
  <si>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</si>
  <si>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</si>
  <si>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</si>
  <si>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</si>
  <si>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</si>
  <si>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</si>
  <si>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</si>
  <si>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</si>
  <si>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</si>
  <si>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</si>
  <si>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</si>
  <si>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</si>
  <si>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</si>
  <si>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</si>
  <si>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</si>
  <si>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</si>
  <si>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</si>
  <si>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</si>
  <si>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</si>
  <si>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</si>
  <si>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</si>
  <si>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</si>
  <si>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</si>
  <si>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</si>
  <si>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</si>
  <si>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</si>
  <si>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</si>
  <si>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</si>
  <si>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</si>
  <si>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</si>
  <si>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</si>
  <si>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</si>
  <si>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</si>
  <si>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</si>
  <si>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</si>
  <si>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</si>
  <si>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</si>
  <si>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</si>
  <si>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</si>
  <si>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</si>
  <si>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</si>
  <si>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</si>
  <si>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</si>
  <si>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</si>
  <si>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</si>
  <si>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</si>
  <si>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</si>
  <si>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</si>
  <si>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</si>
  <si>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</si>
  <si>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</si>
  <si>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</si>
  <si>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</si>
  <si>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</si>
  <si>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</si>
  <si>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</si>
  <si>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</si>
  <si>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</si>
  <si>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</si>
  <si>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</si>
  <si>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</si>
  <si>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</si>
  <si>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</si>
  <si>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</si>
  <si>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</si>
  <si>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</si>
  <si>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</si>
  <si>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</si>
  <si>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</si>
  <si>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</si>
  <si>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</si>
  <si>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</si>
  <si>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</si>
  <si>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</si>
  <si>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</si>
  <si>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</si>
  <si>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</si>
  <si>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</si>
  <si>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</si>
  <si>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</si>
  <si>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</si>
  <si>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</si>
  <si>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</si>
  <si>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</si>
  <si>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</si>
  <si>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</si>
  <si>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</si>
  <si>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</si>
  <si>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</si>
  <si>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</si>
  <si>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</si>
  <si>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</si>
  <si>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</si>
  <si>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</si>
  <si>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</si>
  <si>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</si>
  <si>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</si>
  <si>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</si>
  <si>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</si>
  <si>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</si>
  <si>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</si>
  <si>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</si>
  <si>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</si>
  <si>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</si>
  <si>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</si>
  <si>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</si>
  <si>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</si>
  <si>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</si>
  <si>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</si>
  <si>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</si>
  <si>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</si>
  <si>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Uncanny Avengers, from training screen Oct 12</t>
  </si>
  <si>
    <t xml:space="preserve">Second Uncanny Avenger to level 101</t>
  </si>
  <si>
    <t xml:space="preserve">Estimate from Storm</t>
  </si>
  <si>
    <t xml:space="preserve">Third Uncanny Avenger to level 101</t>
  </si>
  <si>
    <t xml:space="preserve">Estimate from Storm.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</si>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</sst>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552317272.231916</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15270000</v>
      </c>
      <c r="C5" s="27" t="n">
        <v>336000</v>
      </c>
      <c r="D5" s="27" t="n">
        <v>3960000</v>
      </c>
      <c r="E5" s="27" t="n">
        <v>13650000</v>
      </c>
      <c r="F5" s="27" t="n">
        <v>227</v>
      </c>
      <c r="G5" s="27" t="n">
        <v>871</v>
      </c>
      <c r="H5" s="27" t="n">
        <v>522</v>
      </c>
    </row>
    <row r="6" customFormat="false" ht="15" hidden="false" customHeight="false" outlineLevel="0" collapsed="false">
      <c r="A6" s="16" t="s">
        <v>378</v>
      </c>
      <c r="B6" s="28" t="n">
        <f aca="false">SUMIFS(B13:B76,$I$13:$I$76,"Yes",$J$13:$J$76,"No")</f>
        <v>28750000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44020000</v>
      </c>
      <c r="C7" s="28" t="n">
        <f aca="false">C5+C6</f>
        <v>4986000</v>
      </c>
      <c r="D7" s="28" t="n">
        <f aca="false">D5+D6</f>
        <v>7846000</v>
      </c>
      <c r="E7" s="28" t="n">
        <f aca="false">E5+E6</f>
        <v>19036000</v>
      </c>
      <c r="F7" s="28" t="n">
        <f aca="false">F5+F6</f>
        <v>227</v>
      </c>
      <c r="G7" s="28" t="n">
        <f aca="false">G5+G6</f>
        <v>971</v>
      </c>
      <c r="H7" s="28" t="n">
        <f aca="false">H5+H6</f>
        <v>1407</v>
      </c>
    </row>
    <row r="8" customFormat="false" ht="15" hidden="false" customHeight="false" outlineLevel="0" collapsed="false">
      <c r="A8" s="16" t="s">
        <v>380</v>
      </c>
      <c r="B8" s="28" t="n">
        <f aca="false">SUMIF($J$80:$J$101,"Planned",B80:B101)</f>
        <v>4950010</v>
      </c>
      <c r="C8" s="28" t="n">
        <f aca="false">SUMIF($J$80:$J$101,"Planned",C80:C101)</f>
        <v>1710000</v>
      </c>
      <c r="D8" s="28" t="n">
        <f aca="false">SUMIF($J$80:$J$101,"Planned",D80:D101)</f>
        <v>1710000</v>
      </c>
      <c r="E8" s="28" t="n">
        <f aca="false">SUMIF($J$80:$J$101,"Planned",E80:E101)</f>
        <v>2640000</v>
      </c>
      <c r="F8" s="28" t="n">
        <f aca="false">SUMIF($J$80:$J$101,"Planned",F80:F101)</f>
        <v>9</v>
      </c>
      <c r="G8" s="28" t="n">
        <f aca="false">SUMIF($J$80:$J$101,"Planned",G80:G101)</f>
        <v>3</v>
      </c>
      <c r="H8" s="28" t="n">
        <f aca="false">SUMIF($J$80:$J$101,"Planned",H80:H101)</f>
        <v>492</v>
      </c>
    </row>
    <row r="9" customFormat="false" ht="15" hidden="false" customHeight="false" outlineLevel="0" collapsed="false">
      <c r="A9" s="16" t="s">
        <v>381</v>
      </c>
      <c r="B9" s="29" t="n">
        <f aca="false">B7-B8</f>
        <v>39069990</v>
      </c>
      <c r="C9" s="29" t="n">
        <f aca="false">C7-C8</f>
        <v>3276000</v>
      </c>
      <c r="D9" s="29" t="n">
        <f aca="false">D7-D8</f>
        <v>6136000</v>
      </c>
      <c r="E9" s="29" t="n">
        <f aca="false">E7-E8</f>
        <v>16396000</v>
      </c>
      <c r="F9" s="29" t="n">
        <f aca="false">F7-F8</f>
        <v>218</v>
      </c>
      <c r="G9" s="29" t="n">
        <f aca="false">G7-G8</f>
        <v>968</v>
      </c>
      <c r="H9" s="29" t="n">
        <f aca="false">H7-H8</f>
        <v>915</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315</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315</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n">
        <v>3300000</v>
      </c>
      <c r="C49" s="30" t="n">
        <v>0</v>
      </c>
      <c r="D49" s="30" t="n">
        <v>0</v>
      </c>
      <c r="E49" s="30" t="n">
        <v>0</v>
      </c>
      <c r="F49" s="30" t="n">
        <v>0</v>
      </c>
      <c r="G49" s="30" t="n">
        <v>0</v>
      </c>
      <c r="H49" s="30" t="n">
        <v>0</v>
      </c>
      <c r="I49" s="11" t="s">
        <v>311</v>
      </c>
      <c r="J49" s="11" t="s">
        <v>311</v>
      </c>
      <c r="K49" s="15" t="s">
        <v>438</v>
      </c>
    </row>
    <row r="50" customFormat="false" ht="15" hidden="false" customHeight="false" outlineLevel="0" collapsed="false">
      <c r="A50" s="12" t="s">
        <v>439</v>
      </c>
      <c r="B50" s="30" t="n">
        <v>3300000</v>
      </c>
      <c r="C50" s="30" t="n">
        <v>0</v>
      </c>
      <c r="D50" s="30" t="n">
        <v>0</v>
      </c>
      <c r="E50" s="30" t="n">
        <v>0</v>
      </c>
      <c r="F50" s="30" t="n">
        <v>0</v>
      </c>
      <c r="G50" s="30" t="n">
        <v>0</v>
      </c>
      <c r="H50" s="30" t="n">
        <v>0</v>
      </c>
      <c r="I50" s="11" t="s">
        <v>311</v>
      </c>
      <c r="J50" s="11" t="s">
        <v>311</v>
      </c>
      <c r="K50" s="15" t="s">
        <v>440</v>
      </c>
    </row>
    <row r="51" customFormat="false" ht="15" hidden="false" customHeight="false" outlineLevel="0" collapsed="false">
      <c r="A51" s="12" t="s">
        <v>441</v>
      </c>
      <c r="B51" s="30" t="n">
        <v>0</v>
      </c>
      <c r="C51" s="30" t="n">
        <v>250000</v>
      </c>
      <c r="D51" s="30" t="n">
        <v>0</v>
      </c>
      <c r="E51" s="30" t="n">
        <v>0</v>
      </c>
      <c r="F51" s="30" t="n">
        <v>0</v>
      </c>
      <c r="G51" s="30" t="n">
        <v>0</v>
      </c>
      <c r="H51" s="30" t="n">
        <v>0</v>
      </c>
      <c r="I51" s="11" t="s">
        <v>311</v>
      </c>
      <c r="J51" s="11" t="s">
        <v>315</v>
      </c>
      <c r="K51" s="15" t="s">
        <v>442</v>
      </c>
    </row>
    <row r="52" customFormat="false" ht="15" hidden="false" customHeight="false" outlineLevel="0" collapsed="false">
      <c r="A52" s="12" t="s">
        <v>443</v>
      </c>
      <c r="B52" s="30" t="n">
        <v>0</v>
      </c>
      <c r="C52" s="30" t="n">
        <v>0</v>
      </c>
      <c r="D52" s="30" t="n">
        <v>0</v>
      </c>
      <c r="E52" s="30" t="n">
        <v>0</v>
      </c>
      <c r="F52" s="30" t="n">
        <v>0</v>
      </c>
      <c r="G52" s="30" t="n">
        <v>0</v>
      </c>
      <c r="H52" s="30" t="n">
        <v>0</v>
      </c>
      <c r="I52" s="11" t="s">
        <v>311</v>
      </c>
      <c r="J52" s="11" t="s">
        <v>315</v>
      </c>
      <c r="K52" s="15" t="s">
        <v>444</v>
      </c>
    </row>
    <row r="53" customFormat="false" ht="15" hidden="false" customHeight="false" outlineLevel="0" collapsed="false">
      <c r="A53" s="12" t="s">
        <v>445</v>
      </c>
      <c r="B53" s="30" t="n">
        <v>0</v>
      </c>
      <c r="C53" s="30" t="n">
        <v>0</v>
      </c>
      <c r="D53" s="30" t="n">
        <v>136000</v>
      </c>
      <c r="E53" s="30" t="n">
        <v>136000</v>
      </c>
      <c r="F53" s="30" t="n">
        <v>0</v>
      </c>
      <c r="G53" s="30" t="n">
        <v>0</v>
      </c>
      <c r="H53" s="30" t="n">
        <v>0</v>
      </c>
      <c r="I53" s="11" t="s">
        <v>311</v>
      </c>
      <c r="J53" s="11" t="s">
        <v>315</v>
      </c>
      <c r="K53" s="15" t="s">
        <v>446</v>
      </c>
    </row>
    <row r="54" customFormat="false" ht="15" hidden="false" customHeight="false" outlineLevel="0" collapsed="false">
      <c r="A54" s="12" t="s">
        <v>447</v>
      </c>
      <c r="B54" s="30" t="n">
        <v>750000</v>
      </c>
      <c r="C54" s="30" t="n">
        <v>0</v>
      </c>
      <c r="D54" s="30" t="n">
        <v>0</v>
      </c>
      <c r="E54" s="30" t="n">
        <v>0</v>
      </c>
      <c r="F54" s="30" t="n">
        <v>0</v>
      </c>
      <c r="G54" s="30" t="n">
        <v>0</v>
      </c>
      <c r="H54" s="30" t="n">
        <v>0</v>
      </c>
      <c r="I54" s="11" t="s">
        <v>311</v>
      </c>
      <c r="J54" s="11" t="s">
        <v>315</v>
      </c>
      <c r="K54" s="15" t="s">
        <v>448</v>
      </c>
    </row>
    <row r="55" customFormat="false" ht="15" hidden="false" customHeight="false" outlineLevel="0" collapsed="false">
      <c r="A55" s="12" t="s">
        <v>449</v>
      </c>
      <c r="B55" s="30" t="n">
        <v>750000</v>
      </c>
      <c r="C55" s="30" t="n">
        <v>0</v>
      </c>
      <c r="D55" s="30" t="n">
        <v>0</v>
      </c>
      <c r="E55" s="30" t="n">
        <v>0</v>
      </c>
      <c r="F55" s="30" t="n">
        <v>0</v>
      </c>
      <c r="G55" s="30" t="n">
        <v>0</v>
      </c>
      <c r="H55" s="30" t="n">
        <v>0</v>
      </c>
      <c r="I55" s="11" t="s">
        <v>311</v>
      </c>
      <c r="J55" s="11" t="s">
        <v>315</v>
      </c>
      <c r="K55" s="15" t="s">
        <v>450</v>
      </c>
    </row>
    <row r="56" customFormat="false" ht="15" hidden="false" customHeight="false" outlineLevel="0" collapsed="false">
      <c r="A56" s="12" t="s">
        <v>451</v>
      </c>
      <c r="B56" s="30" t="n">
        <v>750000</v>
      </c>
      <c r="C56" s="30" t="n">
        <v>0</v>
      </c>
      <c r="D56" s="30" t="n">
        <v>0</v>
      </c>
      <c r="E56" s="30" t="n">
        <v>0</v>
      </c>
      <c r="F56" s="30" t="n">
        <v>0</v>
      </c>
      <c r="G56" s="30" t="n">
        <v>0</v>
      </c>
      <c r="H56" s="30" t="n">
        <v>0</v>
      </c>
      <c r="I56" s="11" t="s">
        <v>311</v>
      </c>
      <c r="J56" s="11" t="s">
        <v>315</v>
      </c>
      <c r="K56" s="15" t="s">
        <v>450</v>
      </c>
    </row>
    <row r="57" customFormat="false" ht="15" hidden="false" customHeight="false" outlineLevel="0" collapsed="false">
      <c r="A57" s="12" t="s">
        <v>452</v>
      </c>
      <c r="B57" s="30" t="n">
        <v>750000</v>
      </c>
      <c r="C57" s="30" t="n">
        <v>0</v>
      </c>
      <c r="D57" s="30" t="n">
        <v>0</v>
      </c>
      <c r="E57" s="30" t="n">
        <v>0</v>
      </c>
      <c r="F57" s="30" t="n">
        <v>0</v>
      </c>
      <c r="G57" s="30" t="n">
        <v>0</v>
      </c>
      <c r="H57" s="30" t="n">
        <v>0</v>
      </c>
      <c r="I57" s="11" t="s">
        <v>311</v>
      </c>
      <c r="J57" s="11" t="s">
        <v>315</v>
      </c>
      <c r="K57" s="15" t="s">
        <v>450</v>
      </c>
    </row>
    <row r="58" customFormat="false" ht="15" hidden="false" customHeight="false" outlineLevel="0" collapsed="false">
      <c r="A58" s="12" t="s">
        <v>453</v>
      </c>
      <c r="B58" s="30" t="n">
        <v>750000</v>
      </c>
      <c r="C58" s="30" t="n">
        <v>0</v>
      </c>
      <c r="D58" s="30" t="n">
        <v>0</v>
      </c>
      <c r="E58" s="30" t="n">
        <v>0</v>
      </c>
      <c r="F58" s="30" t="n">
        <v>0</v>
      </c>
      <c r="G58" s="30" t="n">
        <v>0</v>
      </c>
      <c r="H58" s="30" t="n">
        <v>0</v>
      </c>
      <c r="I58" s="11" t="s">
        <v>311</v>
      </c>
      <c r="J58" s="11" t="s">
        <v>315</v>
      </c>
      <c r="K58" s="15" t="s">
        <v>450</v>
      </c>
    </row>
    <row r="59" customFormat="false" ht="15" hidden="false" customHeight="false" outlineLevel="0" collapsed="false">
      <c r="A59" s="12" t="s">
        <v>454</v>
      </c>
      <c r="B59" s="30" t="n">
        <v>750000</v>
      </c>
      <c r="C59" s="30" t="n">
        <v>0</v>
      </c>
      <c r="D59" s="30" t="n">
        <v>0</v>
      </c>
      <c r="E59" s="30" t="n">
        <v>0</v>
      </c>
      <c r="F59" s="30" t="n">
        <v>0</v>
      </c>
      <c r="G59" s="30" t="n">
        <v>0</v>
      </c>
      <c r="H59" s="30" t="n">
        <v>0</v>
      </c>
      <c r="I59" s="11" t="s">
        <v>311</v>
      </c>
      <c r="J59" s="11" t="s">
        <v>315</v>
      </c>
      <c r="K59" s="15" t="s">
        <v>450</v>
      </c>
    </row>
    <row r="60" customFormat="false" ht="15" hidden="false" customHeight="false" outlineLevel="0" collapsed="false">
      <c r="A60" s="12" t="s">
        <v>455</v>
      </c>
      <c r="B60" s="30" t="n">
        <v>750000</v>
      </c>
      <c r="C60" s="30" t="n">
        <v>0</v>
      </c>
      <c r="D60" s="30" t="n">
        <v>0</v>
      </c>
      <c r="E60" s="30" t="n">
        <v>0</v>
      </c>
      <c r="F60" s="30" t="n">
        <v>0</v>
      </c>
      <c r="G60" s="30" t="n">
        <v>0</v>
      </c>
      <c r="H60" s="30" t="n">
        <v>0</v>
      </c>
      <c r="I60" s="11" t="s">
        <v>311</v>
      </c>
      <c r="J60" s="11" t="s">
        <v>315</v>
      </c>
      <c r="K60" s="15" t="s">
        <v>450</v>
      </c>
    </row>
    <row r="61" customFormat="false" ht="15" hidden="false" customHeight="false" outlineLevel="0" collapsed="false">
      <c r="A61" s="12" t="s">
        <v>456</v>
      </c>
      <c r="B61" s="30" t="n">
        <v>750000</v>
      </c>
      <c r="C61" s="30" t="n">
        <v>0</v>
      </c>
      <c r="D61" s="30" t="n">
        <v>0</v>
      </c>
      <c r="E61" s="30" t="n">
        <v>0</v>
      </c>
      <c r="F61" s="30" t="n">
        <v>0</v>
      </c>
      <c r="G61" s="30" t="n">
        <v>0</v>
      </c>
      <c r="H61" s="30" t="n">
        <v>0</v>
      </c>
      <c r="I61" s="11" t="s">
        <v>311</v>
      </c>
      <c r="J61" s="11" t="s">
        <v>315</v>
      </c>
      <c r="K61" s="15" t="s">
        <v>450</v>
      </c>
    </row>
    <row r="62" customFormat="false" ht="15" hidden="false" customHeight="false" outlineLevel="0" collapsed="false">
      <c r="A62" s="12" t="s">
        <v>457</v>
      </c>
      <c r="B62" s="30" t="n">
        <v>0</v>
      </c>
      <c r="C62" s="30" t="n">
        <v>250000</v>
      </c>
      <c r="D62" s="30" t="n">
        <v>0</v>
      </c>
      <c r="E62" s="30" t="n">
        <v>0</v>
      </c>
      <c r="F62" s="30" t="n">
        <v>0</v>
      </c>
      <c r="G62" s="30" t="n">
        <v>0</v>
      </c>
      <c r="H62" s="30" t="n">
        <v>0</v>
      </c>
      <c r="I62" s="11" t="s">
        <v>311</v>
      </c>
      <c r="J62" s="11" t="s">
        <v>315</v>
      </c>
      <c r="K62" s="15" t="s">
        <v>458</v>
      </c>
    </row>
    <row r="63" customFormat="false" ht="15" hidden="false" customHeight="false" outlineLevel="0" collapsed="false">
      <c r="A63" s="12" t="s">
        <v>459</v>
      </c>
      <c r="B63" s="30" t="n">
        <v>0</v>
      </c>
      <c r="C63" s="30" t="n">
        <v>0</v>
      </c>
      <c r="D63" s="30" t="n">
        <v>0</v>
      </c>
      <c r="E63" s="30" t="n">
        <v>0</v>
      </c>
      <c r="F63" s="30" t="n">
        <v>0</v>
      </c>
      <c r="G63" s="30" t="n">
        <v>0</v>
      </c>
      <c r="H63" s="30" t="n">
        <v>0</v>
      </c>
      <c r="I63" s="11" t="s">
        <v>311</v>
      </c>
      <c r="J63" s="11" t="s">
        <v>315</v>
      </c>
      <c r="K63" s="15" t="s">
        <v>460</v>
      </c>
    </row>
    <row r="64" customFormat="false" ht="15" hidden="false" customHeight="false" outlineLevel="0" collapsed="false">
      <c r="A64" s="12" t="s">
        <v>461</v>
      </c>
      <c r="B64" s="30" t="n">
        <v>178025</v>
      </c>
      <c r="C64" s="30" t="n">
        <v>0</v>
      </c>
      <c r="D64" s="30" t="n">
        <v>0</v>
      </c>
      <c r="E64" s="30" t="n">
        <v>0</v>
      </c>
      <c r="F64" s="30" t="n">
        <v>10</v>
      </c>
      <c r="G64" s="30" t="n">
        <v>92</v>
      </c>
      <c r="H64" s="30" t="n">
        <v>0</v>
      </c>
      <c r="I64" s="11" t="s">
        <v>311</v>
      </c>
      <c r="J64" s="11" t="s">
        <v>311</v>
      </c>
      <c r="K64" s="15" t="s">
        <v>462</v>
      </c>
    </row>
    <row r="65" customFormat="false" ht="15" hidden="false" customHeight="false" outlineLevel="0" collapsed="false">
      <c r="A65" s="12" t="s">
        <v>463</v>
      </c>
      <c r="B65" s="30" t="n">
        <v>12000</v>
      </c>
      <c r="C65" s="30" t="n">
        <v>0</v>
      </c>
      <c r="D65" s="30" t="n">
        <v>0</v>
      </c>
      <c r="E65" s="30" t="n">
        <v>0</v>
      </c>
      <c r="F65" s="30" t="n">
        <v>0</v>
      </c>
      <c r="G65" s="30" t="n">
        <v>64</v>
      </c>
      <c r="H65" s="30" t="n">
        <v>0</v>
      </c>
      <c r="I65" s="11" t="s">
        <v>311</v>
      </c>
      <c r="J65" s="11" t="s">
        <v>311</v>
      </c>
      <c r="K65" s="15" t="s">
        <v>464</v>
      </c>
    </row>
    <row r="66" customFormat="false" ht="15" hidden="false" customHeight="false" outlineLevel="0" collapsed="false">
      <c r="A66" s="12" t="s">
        <v>465</v>
      </c>
      <c r="B66" s="30" t="n">
        <v>375000</v>
      </c>
      <c r="C66" s="30" t="n">
        <v>0</v>
      </c>
      <c r="D66" s="30" t="n">
        <v>0</v>
      </c>
      <c r="E66" s="30" t="n">
        <v>0</v>
      </c>
      <c r="F66" s="30" t="n">
        <v>0</v>
      </c>
      <c r="G66" s="30" t="n">
        <v>0</v>
      </c>
      <c r="H66" s="30" t="n">
        <v>0</v>
      </c>
      <c r="I66" s="11" t="s">
        <v>315</v>
      </c>
      <c r="J66" s="11" t="s">
        <v>315</v>
      </c>
      <c r="K66" s="15" t="s">
        <v>466</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467</v>
      </c>
    </row>
    <row r="79" customFormat="false" ht="26.85" hidden="false" customHeight="false" outlineLevel="0" collapsed="false">
      <c r="A79" s="3" t="s">
        <v>468</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469</v>
      </c>
      <c r="B80" s="30" t="n">
        <v>1837500</v>
      </c>
      <c r="C80" s="30" t="n">
        <v>0</v>
      </c>
      <c r="D80" s="30" t="n">
        <v>0</v>
      </c>
      <c r="E80" s="30" t="n">
        <v>0</v>
      </c>
      <c r="F80" s="30" t="n">
        <v>2</v>
      </c>
      <c r="G80" s="30" t="n">
        <v>1</v>
      </c>
      <c r="H80" s="30" t="n">
        <v>183</v>
      </c>
      <c r="I80" s="30" t="n">
        <v>0</v>
      </c>
      <c r="J80" s="11" t="s">
        <v>470</v>
      </c>
      <c r="K80" s="15" t="s">
        <v>471</v>
      </c>
    </row>
    <row r="81" customFormat="false" ht="15" hidden="false" customHeight="false" outlineLevel="0" collapsed="false">
      <c r="A81" s="12" t="s">
        <v>472</v>
      </c>
      <c r="B81" s="30" t="n">
        <v>0</v>
      </c>
      <c r="C81" s="30" t="n">
        <v>359800</v>
      </c>
      <c r="D81" s="30" t="n">
        <v>0</v>
      </c>
      <c r="E81" s="30" t="n">
        <v>0</v>
      </c>
      <c r="F81" s="30" t="n">
        <v>0</v>
      </c>
      <c r="G81" s="30" t="n">
        <v>0</v>
      </c>
      <c r="H81" s="30" t="n">
        <v>0</v>
      </c>
      <c r="I81" s="30" t="n">
        <v>0</v>
      </c>
      <c r="J81" s="11" t="s">
        <v>470</v>
      </c>
      <c r="K81" s="15"/>
    </row>
    <row r="82" customFormat="false" ht="15" hidden="false" customHeight="false" outlineLevel="0" collapsed="false">
      <c r="A82" s="12" t="s">
        <v>473</v>
      </c>
      <c r="B82" s="30" t="n">
        <v>9791250</v>
      </c>
      <c r="C82" s="30" t="n">
        <v>0</v>
      </c>
      <c r="D82" s="30" t="n">
        <v>0</v>
      </c>
      <c r="E82" s="30" t="n">
        <v>0</v>
      </c>
      <c r="F82" s="30" t="n">
        <v>1</v>
      </c>
      <c r="G82" s="30" t="n">
        <v>0</v>
      </c>
      <c r="H82" s="30" t="n">
        <v>979</v>
      </c>
      <c r="I82" s="30" t="n">
        <v>55000000</v>
      </c>
      <c r="J82" s="11" t="s">
        <v>470</v>
      </c>
      <c r="K82" s="15" t="s">
        <v>474</v>
      </c>
    </row>
    <row r="83" customFormat="false" ht="15" hidden="false" customHeight="false" outlineLevel="0" collapsed="false">
      <c r="A83" s="12" t="s">
        <v>475</v>
      </c>
      <c r="B83" s="30" t="n">
        <v>0</v>
      </c>
      <c r="C83" s="30" t="n">
        <v>359800</v>
      </c>
      <c r="D83" s="30" t="n">
        <v>0</v>
      </c>
      <c r="E83" s="30" t="n">
        <v>0</v>
      </c>
      <c r="F83" s="30" t="n">
        <v>0</v>
      </c>
      <c r="G83" s="30" t="n">
        <v>0</v>
      </c>
      <c r="H83" s="30" t="n">
        <v>0</v>
      </c>
      <c r="I83" s="30" t="n">
        <v>0</v>
      </c>
      <c r="J83" s="11" t="s">
        <v>470</v>
      </c>
      <c r="K83" s="15" t="s">
        <v>474</v>
      </c>
    </row>
    <row r="84" customFormat="false" ht="15" hidden="false" customHeight="false" outlineLevel="0" collapsed="false">
      <c r="A84" s="12" t="s">
        <v>476</v>
      </c>
      <c r="B84" s="27"/>
      <c r="C84" s="30" t="n">
        <v>0</v>
      </c>
      <c r="D84" s="30" t="n">
        <v>0</v>
      </c>
      <c r="E84" s="30" t="n">
        <v>0</v>
      </c>
      <c r="F84" s="27"/>
      <c r="G84" s="27"/>
      <c r="H84" s="27"/>
      <c r="I84" s="30" t="n">
        <v>3000000</v>
      </c>
      <c r="J84" s="11" t="s">
        <v>477</v>
      </c>
      <c r="K84" s="15" t="s">
        <v>478</v>
      </c>
    </row>
    <row r="85" customFormat="false" ht="15" hidden="false" customHeight="false" outlineLevel="0" collapsed="false">
      <c r="A85" s="12" t="s">
        <v>479</v>
      </c>
      <c r="B85" s="27"/>
      <c r="C85" s="30" t="n">
        <v>0</v>
      </c>
      <c r="D85" s="30" t="n">
        <v>0</v>
      </c>
      <c r="E85" s="30" t="n">
        <v>0</v>
      </c>
      <c r="F85" s="27"/>
      <c r="G85" s="27"/>
      <c r="H85" s="27"/>
      <c r="I85" s="30" t="n">
        <v>3000000</v>
      </c>
      <c r="J85" s="11" t="s">
        <v>480</v>
      </c>
      <c r="K85" s="15" t="s">
        <v>481</v>
      </c>
    </row>
    <row r="86" customFormat="false" ht="15" hidden="false" customHeight="false" outlineLevel="0" collapsed="false">
      <c r="A86" s="12" t="s">
        <v>482</v>
      </c>
      <c r="B86" s="30" t="n">
        <v>1650010</v>
      </c>
      <c r="C86" s="30" t="n">
        <v>0</v>
      </c>
      <c r="D86" s="30" t="n">
        <v>0</v>
      </c>
      <c r="E86" s="30" t="n">
        <v>0</v>
      </c>
      <c r="F86" s="30" t="n">
        <v>3</v>
      </c>
      <c r="G86" s="30" t="n">
        <v>1</v>
      </c>
      <c r="H86" s="30" t="n">
        <v>164</v>
      </c>
      <c r="I86" s="30" t="n">
        <v>3000000</v>
      </c>
      <c r="J86" s="11" t="s">
        <v>480</v>
      </c>
      <c r="K86" s="15" t="s">
        <v>483</v>
      </c>
    </row>
    <row r="87" customFormat="false" ht="15" hidden="false" customHeight="false" outlineLevel="0" collapsed="false">
      <c r="A87" s="12" t="s">
        <v>484</v>
      </c>
      <c r="B87" s="30" t="n">
        <v>1650000</v>
      </c>
      <c r="C87" s="30" t="n">
        <v>0</v>
      </c>
      <c r="D87" s="30" t="n">
        <v>0</v>
      </c>
      <c r="E87" s="30" t="n">
        <v>0</v>
      </c>
      <c r="F87" s="30" t="n">
        <v>3</v>
      </c>
      <c r="G87" s="30" t="n">
        <v>1</v>
      </c>
      <c r="H87" s="30" t="n">
        <v>164</v>
      </c>
      <c r="I87" s="30" t="n">
        <v>3000000</v>
      </c>
      <c r="J87" s="11" t="s">
        <v>480</v>
      </c>
      <c r="K87" s="15" t="s">
        <v>485</v>
      </c>
    </row>
    <row r="88" customFormat="false" ht="15" hidden="false" customHeight="false" outlineLevel="0" collapsed="false">
      <c r="A88" s="12" t="s">
        <v>486</v>
      </c>
      <c r="B88" s="30" t="n">
        <v>1650000</v>
      </c>
      <c r="C88" s="30" t="n">
        <v>0</v>
      </c>
      <c r="D88" s="30" t="n">
        <v>0</v>
      </c>
      <c r="E88" s="30" t="n">
        <v>0</v>
      </c>
      <c r="F88" s="30" t="n">
        <v>3</v>
      </c>
      <c r="G88" s="30" t="n">
        <v>1</v>
      </c>
      <c r="H88" s="30" t="n">
        <v>164</v>
      </c>
      <c r="I88" s="30" t="n">
        <v>3000000</v>
      </c>
      <c r="J88" s="11" t="s">
        <v>480</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480</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470</v>
      </c>
      <c r="K90" s="15" t="s">
        <v>491</v>
      </c>
    </row>
    <row r="91" customFormat="false" ht="15" hidden="false" customHeight="false" outlineLevel="0" collapsed="false">
      <c r="A91" s="12" t="s">
        <v>492</v>
      </c>
      <c r="B91" s="30" t="n">
        <v>0</v>
      </c>
      <c r="C91" s="30" t="n">
        <v>1710000</v>
      </c>
      <c r="D91" s="30" t="n">
        <v>1710000</v>
      </c>
      <c r="E91" s="30" t="n">
        <v>2640000</v>
      </c>
      <c r="F91" s="30" t="n">
        <v>0</v>
      </c>
      <c r="G91" s="30" t="n">
        <v>0</v>
      </c>
      <c r="H91" s="30" t="n">
        <v>0</v>
      </c>
      <c r="I91" s="30" t="n">
        <v>17000000</v>
      </c>
      <c r="J91" s="11" t="s">
        <v>480</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477</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477</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477</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477</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46000000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470</v>
      </c>
      <c r="F6" s="32"/>
      <c r="G6" s="32"/>
      <c r="H6" s="32"/>
      <c r="I6" s="32"/>
      <c r="J6" s="32"/>
      <c r="K6" s="32"/>
      <c r="L6" s="32"/>
    </row>
    <row r="7" customFormat="false" ht="15" hidden="false" customHeight="false" outlineLevel="0" collapsed="false">
      <c r="A7" s="13" t="s">
        <v>515</v>
      </c>
      <c r="B7" s="13" t="s">
        <v>513</v>
      </c>
      <c r="C7" s="24" t="n">
        <v>25000</v>
      </c>
      <c r="D7" s="15" t="s">
        <v>516</v>
      </c>
      <c r="E7" s="32" t="s">
        <v>470</v>
      </c>
      <c r="F7" s="32"/>
      <c r="G7" s="32"/>
      <c r="H7" s="32"/>
      <c r="I7" s="32"/>
      <c r="J7" s="32"/>
      <c r="K7" s="32"/>
      <c r="L7" s="32"/>
    </row>
    <row r="8" customFormat="false" ht="15" hidden="false" customHeight="false" outlineLevel="0" collapsed="false">
      <c r="A8" s="13" t="s">
        <v>517</v>
      </c>
      <c r="B8" s="13" t="s">
        <v>513</v>
      </c>
      <c r="C8" s="24" t="n">
        <v>50000</v>
      </c>
      <c r="D8" s="15" t="s">
        <v>518</v>
      </c>
      <c r="E8" s="32" t="s">
        <v>470</v>
      </c>
      <c r="F8" s="32"/>
      <c r="G8" s="32"/>
      <c r="H8" s="32"/>
      <c r="I8" s="32"/>
      <c r="J8" s="32"/>
      <c r="K8" s="32"/>
      <c r="L8" s="32"/>
    </row>
    <row r="9" customFormat="false" ht="15" hidden="false" customHeight="false" outlineLevel="0" collapsed="false">
      <c r="A9" s="13" t="s">
        <v>519</v>
      </c>
      <c r="B9" s="13" t="s">
        <v>513</v>
      </c>
      <c r="C9" s="24" t="n">
        <v>50000</v>
      </c>
      <c r="D9" s="15" t="s">
        <v>520</v>
      </c>
      <c r="E9" s="32" t="s">
        <v>470</v>
      </c>
      <c r="F9" s="32"/>
      <c r="G9" s="32"/>
      <c r="H9" s="32"/>
      <c r="I9" s="32"/>
      <c r="J9" s="32"/>
      <c r="K9" s="32"/>
      <c r="L9" s="32"/>
    </row>
    <row r="10" customFormat="false" ht="15" hidden="false" customHeight="false" outlineLevel="0" collapsed="false">
      <c r="A10" s="13" t="s">
        <v>521</v>
      </c>
      <c r="B10" s="13" t="s">
        <v>513</v>
      </c>
      <c r="C10" s="24" t="n">
        <v>50000</v>
      </c>
      <c r="D10" s="15" t="s">
        <v>518</v>
      </c>
      <c r="E10" s="32" t="s">
        <v>470</v>
      </c>
      <c r="F10" s="32"/>
      <c r="G10" s="32"/>
      <c r="H10" s="32"/>
      <c r="I10" s="32"/>
      <c r="J10" s="32"/>
      <c r="K10" s="32"/>
      <c r="L10" s="32"/>
    </row>
    <row r="11" customFormat="false" ht="15" hidden="false" customHeight="false" outlineLevel="0" collapsed="false">
      <c r="A11" s="13" t="s">
        <v>522</v>
      </c>
      <c r="B11" s="13" t="s">
        <v>513</v>
      </c>
      <c r="C11" s="24" t="n">
        <v>25000</v>
      </c>
      <c r="D11" s="15" t="s">
        <v>518</v>
      </c>
      <c r="E11" s="32" t="s">
        <v>470</v>
      </c>
      <c r="F11" s="32"/>
      <c r="G11" s="32"/>
      <c r="H11" s="32"/>
      <c r="I11" s="32"/>
      <c r="J11" s="32"/>
      <c r="K11" s="32"/>
      <c r="L11" s="32"/>
    </row>
    <row r="12" customFormat="false" ht="15" hidden="false" customHeight="false" outlineLevel="0" collapsed="false">
      <c r="A12" s="13" t="s">
        <v>523</v>
      </c>
      <c r="B12" s="13" t="s">
        <v>513</v>
      </c>
      <c r="C12" s="24" t="n">
        <v>25000</v>
      </c>
      <c r="D12" s="15" t="s">
        <v>524</v>
      </c>
      <c r="E12" s="32" t="s">
        <v>470</v>
      </c>
      <c r="F12" s="32"/>
      <c r="G12" s="32"/>
      <c r="H12" s="32"/>
      <c r="I12" s="32"/>
      <c r="J12" s="32"/>
      <c r="K12" s="32"/>
      <c r="L12" s="32"/>
    </row>
    <row r="13" customFormat="false" ht="15" hidden="false" customHeight="false" outlineLevel="0" collapsed="false">
      <c r="A13" s="13" t="s">
        <v>525</v>
      </c>
      <c r="B13" s="13" t="s">
        <v>513</v>
      </c>
      <c r="C13" s="24" t="n">
        <v>25000</v>
      </c>
      <c r="D13" s="15" t="s">
        <v>518</v>
      </c>
      <c r="E13" s="32" t="s">
        <v>470</v>
      </c>
      <c r="F13" s="32"/>
      <c r="G13" s="32"/>
      <c r="H13" s="32"/>
      <c r="I13" s="32"/>
      <c r="J13" s="32"/>
      <c r="K13" s="32"/>
      <c r="L13" s="32"/>
    </row>
    <row r="14" customFormat="false" ht="15" hidden="false" customHeight="false" outlineLevel="0" collapsed="false">
      <c r="A14" s="13" t="s">
        <v>526</v>
      </c>
      <c r="B14" s="13" t="s">
        <v>513</v>
      </c>
      <c r="C14" s="24" t="n">
        <v>50000</v>
      </c>
      <c r="D14" s="15" t="s">
        <v>527</v>
      </c>
      <c r="E14" s="32" t="s">
        <v>470</v>
      </c>
      <c r="F14" s="32"/>
      <c r="G14" s="32"/>
      <c r="H14" s="32"/>
      <c r="I14" s="32"/>
      <c r="J14" s="32"/>
      <c r="K14" s="32"/>
      <c r="L14" s="32"/>
    </row>
    <row r="15" customFormat="false" ht="15" hidden="false" customHeight="false" outlineLevel="0" collapsed="false">
      <c r="A15" s="13" t="s">
        <v>528</v>
      </c>
      <c r="B15" s="13" t="s">
        <v>513</v>
      </c>
      <c r="C15" s="24" t="n">
        <v>50000</v>
      </c>
      <c r="D15" s="15" t="s">
        <v>518</v>
      </c>
      <c r="E15" s="32" t="s">
        <v>470</v>
      </c>
      <c r="F15" s="32"/>
      <c r="G15" s="32"/>
      <c r="H15" s="32"/>
      <c r="I15" s="32"/>
      <c r="J15" s="32"/>
      <c r="K15" s="32"/>
      <c r="L15" s="32"/>
    </row>
    <row r="16" customFormat="false" ht="15" hidden="false" customHeight="false" outlineLevel="0" collapsed="false">
      <c r="A16" s="13" t="s">
        <v>529</v>
      </c>
      <c r="B16" s="13" t="s">
        <v>513</v>
      </c>
      <c r="C16" s="24" t="n">
        <v>1000000</v>
      </c>
      <c r="D16" s="15" t="s">
        <v>530</v>
      </c>
      <c r="E16" s="32" t="s">
        <v>470</v>
      </c>
      <c r="F16" s="32"/>
      <c r="G16" s="32"/>
      <c r="H16" s="32"/>
      <c r="I16" s="32"/>
      <c r="J16" s="32"/>
      <c r="K16" s="32"/>
      <c r="L16" s="32"/>
    </row>
    <row r="17" customFormat="false" ht="15" hidden="false" customHeight="false" outlineLevel="0" collapsed="false">
      <c r="A17" s="13" t="s">
        <v>531</v>
      </c>
      <c r="B17" s="13" t="s">
        <v>532</v>
      </c>
      <c r="C17" s="24" t="n">
        <v>100000</v>
      </c>
      <c r="D17" s="15" t="s">
        <v>533</v>
      </c>
      <c r="E17" s="32"/>
      <c r="F17" s="32"/>
      <c r="G17" s="32"/>
      <c r="H17" s="32"/>
      <c r="I17" s="32"/>
      <c r="J17" s="32"/>
      <c r="K17" s="32"/>
      <c r="L17" s="32"/>
    </row>
    <row r="18" customFormat="false" ht="15" hidden="false" customHeight="false" outlineLevel="0" collapsed="false">
      <c r="A18" s="13" t="s">
        <v>534</v>
      </c>
      <c r="B18" s="13" t="s">
        <v>532</v>
      </c>
      <c r="C18" s="24" t="n">
        <v>25000</v>
      </c>
      <c r="D18" s="15" t="s">
        <v>535</v>
      </c>
      <c r="E18" s="32" t="s">
        <v>470</v>
      </c>
      <c r="F18" s="32"/>
      <c r="G18" s="32"/>
      <c r="H18" s="32"/>
      <c r="I18" s="32"/>
      <c r="J18" s="32"/>
      <c r="K18" s="32"/>
      <c r="L18" s="32"/>
    </row>
    <row r="19" customFormat="false" ht="15" hidden="false" customHeight="false" outlineLevel="0" collapsed="false">
      <c r="A19" s="13" t="s">
        <v>536</v>
      </c>
      <c r="B19" s="13" t="s">
        <v>532</v>
      </c>
      <c r="C19" s="24" t="n">
        <v>25000</v>
      </c>
      <c r="D19" s="15" t="s">
        <v>537</v>
      </c>
      <c r="E19" s="32" t="s">
        <v>470</v>
      </c>
      <c r="F19" s="32"/>
      <c r="G19" s="32"/>
      <c r="H19" s="32"/>
      <c r="I19" s="32"/>
      <c r="J19" s="32"/>
      <c r="K19" s="32"/>
      <c r="L19" s="32"/>
    </row>
    <row r="20" customFormat="false" ht="15" hidden="false" customHeight="false" outlineLevel="0" collapsed="false">
      <c r="A20" s="13" t="s">
        <v>538</v>
      </c>
      <c r="B20" s="13" t="s">
        <v>532</v>
      </c>
      <c r="C20" s="24" t="n">
        <v>75000</v>
      </c>
      <c r="D20" s="15" t="s">
        <v>539</v>
      </c>
      <c r="E20" s="32" t="s">
        <v>470</v>
      </c>
      <c r="F20" s="32"/>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470</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470</v>
      </c>
      <c r="F25" s="32"/>
      <c r="G25" s="32"/>
      <c r="H25" s="32"/>
      <c r="I25" s="32"/>
      <c r="J25" s="32"/>
      <c r="K25" s="32"/>
      <c r="L25" s="32"/>
    </row>
    <row r="26" customFormat="false" ht="15" hidden="false" customHeight="false" outlineLevel="0" collapsed="false">
      <c r="A26" s="13" t="s">
        <v>549</v>
      </c>
      <c r="B26" s="13" t="s">
        <v>547</v>
      </c>
      <c r="C26" s="24" t="n">
        <v>0</v>
      </c>
      <c r="D26" s="15" t="s">
        <v>550</v>
      </c>
      <c r="E26" s="32" t="s">
        <v>470</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470</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308343695</v>
      </c>
      <c r="D6" s="17" t="s">
        <v>587</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116656305</v>
      </c>
    </row>
    <row r="11" customFormat="false" ht="15" hidden="false" customHeight="false" outlineLevel="0" collapsed="false">
      <c r="A11" s="16" t="s">
        <v>590</v>
      </c>
      <c r="B11" s="20" t="n">
        <f aca="true">IFERROR(B10/MAX(B5-NOW(),0.01),0)</f>
        <v>18065700.7440924</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66656305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2026-10-12T10:01:24Z</dcterms:created>
  <dc:creator>openpyxl</dc:creator>
  <dc:description/>
  <dc:language>en-US</dc:language>
  <cp:lastModifiedBy/>
  <dcterms:modified xsi:type="dcterms:W3CDTF">2026-10-12T10:01:24Z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