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<sst xmlns="http://schemas.openxmlformats.org/spreadsheetml/2006/main" count="1239" uniqueCount="640">
  <si>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</si>
  <si>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</si>
  <si>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</si>
  <si>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</si>
  <si>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</si>
  <si>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</si>
  <si>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</si>
  <si>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</si>
  <si>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</si>
  <si>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</si>
  <si>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</si>
  <si>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</si>
  <si>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</si>
  <si>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</si>
  <si>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</si>
  <si>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</si>
  <si>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</si>
  <si>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</si>
  <si>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</si>
  <si>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</si>
  <si>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</si>
  <si>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</si>
  <si>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</si>
  <si>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</si>
  <si>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</si>
  <si>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</si>
  <si>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</si>
  <si>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</si>
  <si>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</si>
  <si>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</si>
  <si>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</si>
  <si>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</si>
  <si>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</si>
  <si>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</si>
  <si>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</si>
  <si>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</si>
  <si>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</si>
  <si>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</si>
  <si>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</si>
  <si>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</si>
  <si>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</si>
  <si>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</si>
  <si>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</si>
  <si>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</si>
  <si>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</si>
  <si>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</si>
  <si>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</si>
  <si>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</si>
  <si>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</si>
  <si>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</si>
  <si>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</si>
  <si>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</si>
  <si>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</si>
  <si>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</si>
  <si>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</si>
  <si>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</si>
  <si>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</si>
  <si>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</si>
  <si>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</si>
  <si>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</si>
  <si>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</si>
  <si>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</si>
  <si>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</si>
  <si>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</si>
  <si>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</si>
  <si>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</si>
  <si>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</si>
  <si>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</si>
  <si>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</si>
  <si>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</si>
  <si>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</si>
  <si>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</si>
  <si>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</si>
  <si>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</si>
  <si>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</si>
  <si>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</si>
  <si>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</si>
  <si>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</si>
  <si>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</si>
  <si>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</si>
  <si>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</si>
  <si>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</si>
  <si>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</si>
  <si>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</si>
  <si>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</si>
  <si>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</si>
  <si>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</si>
  <si>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</si>
  <si>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</si>
  <si>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</si>
  <si>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</si>
  <si>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</si>
  <si>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</si>
  <si>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</si>
  <si>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</si>
  <si>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</si>
  <si>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</si>
  <si>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</si>
  <si>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</si>
  <si>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</si>
  <si>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</si>
  <si>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</si>
  <si>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</si>
  <si>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</si>
  <si>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</si>
  <si>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</si>
  <si>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</si>
  <si>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</si>
  <si>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</si>
  <si>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</si>
  <si>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</si>
  <si>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</si>
  <si>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</si>
  <si>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</si>
  <si>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</si>
  <si>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</si>
  <si>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</si>
  <si>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</si>
  <si>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</si>
  <si>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</si>
  <si>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</si>
  <si>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</si>
  <si>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</si>
  <si>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</si>
  <si>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</si>
  <si>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</si>
  <si>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</si>
  <si>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</si>
  <si>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</si>
  <si>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</si>
  <si>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</si>
  <si>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</si>
  <si>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</si>
  <si>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</si>
  <si>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</si>
  <si>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</si>
  <si>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</si>
  <si>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</si>
  <si>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</si>
  <si>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</si>
  <si>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</si>
  <si>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</si>
  <si>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</si>
  <si>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</si>
  <si>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</si>
  <si>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</si>
  <si>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</si>
  <si>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</si>
  <si>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</si>
  <si>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</si>
  <si>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</si>
  <si>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</si>
  <si>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</si>
  <si>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</si>
  <si>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</si>
  <si>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</si>
  <si>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</si>
  <si>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</si>
  <si>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</si>
  <si>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</si>
  <si>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</si>
  <si>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</si>
  <si>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</si>
  <si>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</si>
  <si>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</si>
  <si>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</si>
  <si>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</si>
  <si>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</si>
  <si>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</si>
  <si>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</si>
  <si>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</si>
  <si>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</si>
  <si>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</si>
  <si>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</si>
  <si>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</si>
  <si>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</si>
  <si>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</si>
  <si>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</si>
  <si>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</si>
  <si>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</si>
  <si>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</si>
  <si>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</si>
  <si>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</si>
  <si>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</si>
  <si>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</si>
  <si>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</si>
  <si>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</si>
  <si>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</si>
  <si>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</si>
  <si>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</si>
  <si>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</si>
  <si>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</si>
  <si>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</si>
  <si>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</si>
  <si>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</si>
  <si>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</si>
  <si>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</si>
  <si>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</si>
  <si>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</si>
  <si>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</si>
  <si>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</si>
  <si>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</si>
  <si>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</si>
  <si>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</si>
  <si>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</si>
  <si>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</si>
  <si>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</si>
  <si>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</si>
  <si>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</si>
  <si>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</si>
  <si>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</si>
  <si>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</si>
  <si>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</si>
  <si>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</si>
  <si>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</si>
  <si>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</si>
  <si>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</si>
  <si>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</si>
  <si>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</si>
  <si>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</si>
  <si>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</si>
  <si>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</si>
  <si>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</si>
  <si>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</si>
  <si>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</si>
  <si>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</si>
  <si>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</si>
  <si>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</si>
  <si>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</si>
  <si>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</si>
  <si>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</si>
  <si>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</si>
  <si>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</si>
  <si>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</si>
  <si>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</si>
  <si>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</si>
  <si>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</si>
  <si>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</si>
  <si>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</si>
  <si>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</si>
  <si>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</si>
  <si>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</si>
  <si>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</si>
  <si>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</si>
  <si>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</si>
  <si>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</si>
  <si>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</si>
  <si>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</si>
  <si>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</si>
  <si>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</si>
  <si>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</si>
  <si>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</si>
  <si>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</si>
  <si>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</si>
  <si>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</si>
  <si>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</si>
  <si>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</si>
  <si>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</si>
  <si>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</si>
  <si>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</si>
  <si>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</si>
  <si>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</si>
  <si>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</si>
  <si>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</si>
  <si>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</si>
  <si>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</si>
  <si>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</si>
  <si>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</si>
  <si>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</si>
  <si>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</si>
  <si>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</si>
  <si>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</si>
  <si>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</si>
  <si>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</si>
  <si>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</si>
  <si>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</si>
  <si>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</si>
  <si>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</si>
  <si>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</si>
  <si>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</si>
  <si>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</si>
  <si>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</si>
  <si>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</si>
  <si>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</si>
  <si>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</si>
  <si>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</si>
  <si>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</si>
  <si>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</si>
  <si>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</si>
  <si>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</si>
  <si>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</si>
  <si>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</si>
  <si>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</si>
  <si>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</si>
  <si>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</si>
  <si>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</si>
  <si>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</si>
  <si>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</si>
  <si>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</si>
  <si>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</si>
  <si>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</si>
  <si>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</si>
  <si>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</si>
  <si>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</si>
  <si>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</si>
  <si>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</si>
  <si>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</si>
  <si>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</si>
  <si>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</si>
  <si>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</si>
  <si>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</si>
  <si>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</si>
  <si>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</si>
  <si>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</si>
  <si>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</si>
  <si>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</si>
  <si>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</si>
  <si>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</si>
  <si>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</si>
  <si>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</si>
  <si>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</si>
  <si>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</si>
  <si>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</si>
  <si>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</si>
  <si>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</si>
  <si>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</si>
  <si>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</si>
  <si>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</si>
  <si>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</si>
  <si>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</si>
  <si>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</si>
  <si>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</si>
  <si>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</si>
  <si>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</si>
  <si>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</si>
  <si>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</si>
  <si>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</si>
  <si>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</si>
  <si>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</si>
  <si>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</si>
  <si>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</si>
  <si>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</si>
  <si>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</si>
  <si>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</si>
  <si>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</si>
  <si>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</si>
  <si>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</si>
  <si>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</si>
  <si>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</si>
  <si>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</si>
  <si>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</si>
  <si>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</si>
  <si>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</si>
  <si>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</si>
  <si>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</si>
  <si>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</si>
  <si>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</si>
  <si>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</si>
  <si>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</si>
  <si>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</si>
  <si>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</si>
  <si>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</si>
  <si>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</si>
  <si>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</si>
  <si>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</si>
  <si>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</si>
  <si>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</si>
  <si>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</si>
  <si>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</si>
  <si>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</si>
  <si>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</si>
  <si>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</si>
  <si>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</si>
  <si>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</si>
  <si>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</si>
  <si>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</si>
  <si>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</si>
  <si>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</si>
  <si>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</si>
  <si>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</si>
  <si>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</si>
  <si>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</si>
  <si>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</si>
  <si>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</si>
  <si>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</si>
  <si>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</si>
  <si>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</si>
  <si>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</si>
  <si>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</si>
  <si>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</si>
  <si>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</si>
  <si>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</si>
  <si>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</si>
  <si>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</si>
  <si>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</si>
  <si>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</si>
  <si>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</si>
  <si>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</si>
  <si>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</si>
  <si>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</si>
  <si>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</si>
  <si>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</si>
  <si>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</si>
  <si>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</si>
  <si>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</si>
  <si>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</si>
  <si>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</si>
  <si>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</si>
  <si>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</si>
  <si>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</si>
  <si>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</si>
  <si>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</si>
  <si>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</si>
  <si>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</si>
  <si>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</si>
  <si>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</si>
  <si>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</si>
  <si>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</si>
  <si>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</si>
  <si>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</si>
  <si>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</si>
  <si>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</si>
  <si>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</si>
  <si>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</si>
  <si>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</si>
  <si>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</si>
  <si>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</si>
  <si>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</si>
  <si>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</si>
  <si>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</si>
  <si>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</si>
  <si>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</si>
  <si>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</si>
  <si>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</si>
  <si>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</si>
  <si>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</si>
  <si>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</si>
  <si>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</si>
  <si>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</si>
  <si>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</si>
  <si>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</si>
  <si>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</si>
  <si>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</si>
  <si>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</si>
  <si>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</si>
  <si>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</si>
  <si>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</si>
  <si>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</si>
  <si>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</si>
  <si>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</si>
  <si>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</si>
  <si>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</si>
  <si>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</si>
  <si>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</si>
  <si>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</si>
  <si>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</si>
  <si>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</si>
  <si>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</si>
  <si>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</si>
  <si>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</si>
  <si>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</si>
  <si>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</si>
  <si>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</si>
  <si>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</si>
  <si>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</si>
  <si>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</si>
  <si>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</si>
  <si>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</si>
  <si>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</si>
  <si>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</si>
  <si>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</si>
  <si>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</si>
  <si>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</si>
  <si>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</si>
  <si>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</si>
  <si>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</si>
  <si>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</si>
  <si>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</si>
  <si>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</si>
  <si>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</si>
  <si>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</si>
  <si>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</si>
  <si>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</si>
  <si>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</si>
  <si>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</si>
  <si>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</si>
  <si>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</si>
  <si>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</si>
  <si>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</si>
  <si>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</si>
  <si>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</si>
  <si>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</si>
  <si>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</si>
  <si>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Quick Upgrade cost Oct 12. Affordable now</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</si>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</sst>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581651630</v>
      </c>
      <c r="D6" s="16" t="s">
        <v>227</v>
      </c>
      <c r="E6" s="20" t="n">
        <f aca="false">B6+Scoring!F51</f>
        <v>6002651630</v>
      </c>
    </row>
    <row r="7" customFormat="false" ht="15" hidden="false" customHeight="false" outlineLevel="0" collapsed="false">
      <c r="A7" s="16" t="s">
        <v>228</v>
      </c>
      <c r="B7" s="16" t="n">
        <f aca="false">SUMPRODUCT((B13:B76&lt;&gt;"")*(B13:B76&lt;=B6))+SUMPRODUCT((B13:B76="")*(F13:F76="Claimed"))</f>
        <v>43</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44</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18348370</v>
      </c>
    </row>
    <row r="10" customFormat="false" ht="15" hidden="false" customHeight="false" outlineLevel="0" collapsed="false">
      <c r="A10" s="16" t="s">
        <v>231</v>
      </c>
      <c r="B10" s="20" t="n">
        <f aca="false">MAX(0,B76-B6)</f>
        <v>3543348370</v>
      </c>
    </row>
    <row r="11" customFormat="false" ht="15" hidden="false" customHeight="false" outlineLevel="0" collapsed="false">
      <c r="A11" s="16" t="s">
        <v>232</v>
      </c>
      <c r="B11" s="20" t="n">
        <f aca="true">IFERROR(B10/MAX(B5-NOW(),0.01),0)</f>
        <v>557112913.759841</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18348370</v>
      </c>
      <c r="F56" s="11" t="s">
        <v>169</v>
      </c>
    </row>
    <row r="57" customFormat="false" ht="15" hidden="false" customHeight="false" outlineLevel="0" collapsed="false">
      <c r="A57" s="26" t="n">
        <v>45</v>
      </c>
      <c r="B57" s="14" t="n">
        <v>630000000</v>
      </c>
      <c r="C57" s="12" t="s">
        <v>277</v>
      </c>
      <c r="D57" s="12"/>
      <c r="E57" s="24" t="n">
        <f aca="false">IF(B57="","",MAX(0,B57-$B$6))</f>
        <v>48348370</v>
      </c>
      <c r="F57" s="11" t="s">
        <v>169</v>
      </c>
    </row>
    <row r="58" customFormat="false" ht="15" hidden="false" customHeight="false" outlineLevel="0" collapsed="false">
      <c r="A58" s="26" t="n">
        <v>46</v>
      </c>
      <c r="B58" s="14" t="n">
        <v>660000000</v>
      </c>
      <c r="C58" s="12" t="s">
        <v>278</v>
      </c>
      <c r="D58" s="12"/>
      <c r="E58" s="24" t="n">
        <f aca="false">IF(B58="","",MAX(0,B58-$B$6))</f>
        <v>78348370</v>
      </c>
      <c r="F58" s="11" t="s">
        <v>169</v>
      </c>
    </row>
    <row r="59" customFormat="false" ht="15" hidden="false" customHeight="false" outlineLevel="0" collapsed="false">
      <c r="A59" s="26" t="n">
        <v>47</v>
      </c>
      <c r="B59" s="14" t="n">
        <v>690000000</v>
      </c>
      <c r="C59" s="12" t="s">
        <v>279</v>
      </c>
      <c r="D59" s="12"/>
      <c r="E59" s="24" t="n">
        <f aca="false">IF(B59="","",MAX(0,B59-$B$6))</f>
        <v>108348370</v>
      </c>
      <c r="F59" s="11" t="s">
        <v>169</v>
      </c>
    </row>
    <row r="60" customFormat="false" ht="15" hidden="false" customHeight="false" outlineLevel="0" collapsed="false">
      <c r="A60" s="26" t="n">
        <v>48</v>
      </c>
      <c r="B60" s="14" t="n">
        <v>750000000</v>
      </c>
      <c r="C60" s="12" t="s">
        <v>280</v>
      </c>
      <c r="D60" s="12"/>
      <c r="E60" s="24" t="n">
        <f aca="false">IF(B60="","",MAX(0,B60-$B$6))</f>
        <v>168348370</v>
      </c>
      <c r="F60" s="11" t="s">
        <v>169</v>
      </c>
    </row>
    <row r="61" customFormat="false" ht="15" hidden="false" customHeight="false" outlineLevel="0" collapsed="false">
      <c r="A61" s="26" t="n">
        <v>49</v>
      </c>
      <c r="B61" s="14" t="n">
        <v>825000000</v>
      </c>
      <c r="C61" s="12" t="s">
        <v>281</v>
      </c>
      <c r="D61" s="12"/>
      <c r="E61" s="24" t="n">
        <f aca="false">IF(B61="","",MAX(0,B61-$B$6))</f>
        <v>243348370</v>
      </c>
      <c r="F61" s="11" t="s">
        <v>169</v>
      </c>
    </row>
    <row r="62" customFormat="false" ht="15" hidden="false" customHeight="false" outlineLevel="0" collapsed="false">
      <c r="A62" s="26" t="n">
        <v>50</v>
      </c>
      <c r="B62" s="14" t="n">
        <v>900000000</v>
      </c>
      <c r="C62" s="12" t="s">
        <v>282</v>
      </c>
      <c r="D62" s="12"/>
      <c r="E62" s="24" t="n">
        <f aca="false">IF(B62="","",MAX(0,B62-$B$6))</f>
        <v>318348370</v>
      </c>
      <c r="F62" s="11" t="s">
        <v>169</v>
      </c>
    </row>
    <row r="63" customFormat="false" ht="15" hidden="false" customHeight="false" outlineLevel="0" collapsed="false">
      <c r="A63" s="26" t="n">
        <v>51</v>
      </c>
      <c r="B63" s="14" t="n">
        <v>975000000</v>
      </c>
      <c r="C63" s="12" t="s">
        <v>283</v>
      </c>
      <c r="D63" s="12"/>
      <c r="E63" s="24" t="n">
        <f aca="false">IF(B63="","",MAX(0,B63-$B$6))</f>
        <v>393348370</v>
      </c>
      <c r="F63" s="11" t="s">
        <v>169</v>
      </c>
    </row>
    <row r="64" customFormat="false" ht="15" hidden="false" customHeight="false" outlineLevel="0" collapsed="false">
      <c r="A64" s="26" t="n">
        <v>52</v>
      </c>
      <c r="B64" s="14" t="n">
        <v>1050000000</v>
      </c>
      <c r="C64" s="12" t="s">
        <v>284</v>
      </c>
      <c r="D64" s="12"/>
      <c r="E64" s="24" t="n">
        <f aca="false">IF(B64="","",MAX(0,B64-$B$6))</f>
        <v>468348370</v>
      </c>
      <c r="F64" s="11" t="s">
        <v>169</v>
      </c>
    </row>
    <row r="65" customFormat="false" ht="15" hidden="false" customHeight="false" outlineLevel="0" collapsed="false">
      <c r="A65" s="26" t="n">
        <v>53</v>
      </c>
      <c r="B65" s="14" t="n">
        <v>1125000000</v>
      </c>
      <c r="C65" s="12" t="s">
        <v>285</v>
      </c>
      <c r="D65" s="12"/>
      <c r="E65" s="24" t="n">
        <f aca="false">IF(B65="","",MAX(0,B65-$B$6))</f>
        <v>543348370</v>
      </c>
      <c r="F65" s="11" t="s">
        <v>169</v>
      </c>
    </row>
    <row r="66" customFormat="false" ht="15" hidden="false" customHeight="false" outlineLevel="0" collapsed="false">
      <c r="A66" s="26" t="n">
        <v>54</v>
      </c>
      <c r="B66" s="14" t="n">
        <v>1200000000</v>
      </c>
      <c r="C66" s="12" t="s">
        <v>286</v>
      </c>
      <c r="D66" s="12"/>
      <c r="E66" s="24" t="n">
        <f aca="false">IF(B66="","",MAX(0,B66-$B$6))</f>
        <v>618348370</v>
      </c>
      <c r="F66" s="11" t="s">
        <v>169</v>
      </c>
    </row>
    <row r="67" customFormat="false" ht="15" hidden="false" customHeight="false" outlineLevel="0" collapsed="false">
      <c r="A67" s="26" t="n">
        <v>55</v>
      </c>
      <c r="B67" s="14" t="n">
        <v>1350000000</v>
      </c>
      <c r="C67" s="12" t="s">
        <v>287</v>
      </c>
      <c r="D67" s="12"/>
      <c r="E67" s="24" t="n">
        <f aca="false">IF(B67="","",MAX(0,B67-$B$6))</f>
        <v>768348370</v>
      </c>
      <c r="F67" s="11" t="s">
        <v>169</v>
      </c>
    </row>
    <row r="68" customFormat="false" ht="15" hidden="false" customHeight="false" outlineLevel="0" collapsed="false">
      <c r="A68" s="26" t="n">
        <v>56</v>
      </c>
      <c r="B68" s="14" t="n">
        <v>1500000000</v>
      </c>
      <c r="C68" s="12" t="s">
        <v>288</v>
      </c>
      <c r="D68" s="12"/>
      <c r="E68" s="24" t="n">
        <f aca="false">IF(B68="","",MAX(0,B68-$B$6))</f>
        <v>918348370</v>
      </c>
      <c r="F68" s="11" t="s">
        <v>169</v>
      </c>
    </row>
    <row r="69" customFormat="false" ht="15" hidden="false" customHeight="false" outlineLevel="0" collapsed="false">
      <c r="A69" s="26" t="n">
        <v>57</v>
      </c>
      <c r="B69" s="14" t="n">
        <v>1650000000</v>
      </c>
      <c r="C69" s="12" t="s">
        <v>289</v>
      </c>
      <c r="D69" s="12"/>
      <c r="E69" s="24" t="n">
        <f aca="false">IF(B69="","",MAX(0,B69-$B$6))</f>
        <v>1068348370</v>
      </c>
      <c r="F69" s="11" t="s">
        <v>169</v>
      </c>
    </row>
    <row r="70" customFormat="false" ht="15" hidden="false" customHeight="false" outlineLevel="0" collapsed="false">
      <c r="A70" s="26" t="n">
        <v>58</v>
      </c>
      <c r="B70" s="14" t="n">
        <v>1875000000</v>
      </c>
      <c r="C70" s="12" t="s">
        <v>290</v>
      </c>
      <c r="D70" s="12"/>
      <c r="E70" s="24" t="n">
        <f aca="false">IF(B70="","",MAX(0,B70-$B$6))</f>
        <v>1293348370</v>
      </c>
      <c r="F70" s="11" t="s">
        <v>169</v>
      </c>
    </row>
    <row r="71" customFormat="false" ht="15" hidden="false" customHeight="false" outlineLevel="0" collapsed="false">
      <c r="A71" s="26" t="n">
        <v>59</v>
      </c>
      <c r="B71" s="14" t="n">
        <v>2250000000</v>
      </c>
      <c r="C71" s="12" t="s">
        <v>291</v>
      </c>
      <c r="D71" s="12"/>
      <c r="E71" s="24" t="n">
        <f aca="false">IF(B71="","",MAX(0,B71-$B$6))</f>
        <v>1668348370</v>
      </c>
      <c r="F71" s="11" t="s">
        <v>169</v>
      </c>
    </row>
    <row r="72" customFormat="false" ht="15" hidden="false" customHeight="false" outlineLevel="0" collapsed="false">
      <c r="A72" s="26" t="n">
        <v>60</v>
      </c>
      <c r="B72" s="14" t="n">
        <v>2625000000</v>
      </c>
      <c r="C72" s="12" t="s">
        <v>292</v>
      </c>
      <c r="D72" s="12"/>
      <c r="E72" s="24" t="n">
        <f aca="false">IF(B72="","",MAX(0,B72-$B$6))</f>
        <v>2043348370</v>
      </c>
      <c r="F72" s="11" t="s">
        <v>169</v>
      </c>
    </row>
    <row r="73" customFormat="false" ht="15" hidden="false" customHeight="false" outlineLevel="0" collapsed="false">
      <c r="A73" s="26" t="n">
        <v>61</v>
      </c>
      <c r="B73" s="14" t="n">
        <v>3000000000</v>
      </c>
      <c r="C73" s="12" t="s">
        <v>293</v>
      </c>
      <c r="D73" s="12"/>
      <c r="E73" s="24" t="n">
        <f aca="false">IF(B73="","",MAX(0,B73-$B$6))</f>
        <v>2418348370</v>
      </c>
      <c r="F73" s="11" t="s">
        <v>169</v>
      </c>
    </row>
    <row r="74" customFormat="false" ht="15" hidden="false" customHeight="false" outlineLevel="0" collapsed="false">
      <c r="A74" s="26" t="n">
        <v>62</v>
      </c>
      <c r="B74" s="14" t="n">
        <v>3375000000</v>
      </c>
      <c r="C74" s="12" t="s">
        <v>294</v>
      </c>
      <c r="D74" s="12"/>
      <c r="E74" s="24" t="n">
        <f aca="false">IF(B74="","",MAX(0,B74-$B$6))</f>
        <v>2793348370</v>
      </c>
      <c r="F74" s="11" t="s">
        <v>169</v>
      </c>
    </row>
    <row r="75" customFormat="false" ht="15" hidden="false" customHeight="false" outlineLevel="0" collapsed="false">
      <c r="A75" s="26" t="n">
        <v>63</v>
      </c>
      <c r="B75" s="14" t="n">
        <v>3750000000</v>
      </c>
      <c r="C75" s="12" t="s">
        <v>295</v>
      </c>
      <c r="D75" s="12"/>
      <c r="E75" s="24" t="n">
        <f aca="false">IF(B75="","",MAX(0,B75-$B$6))</f>
        <v>3168348370</v>
      </c>
      <c r="F75" s="11" t="s">
        <v>169</v>
      </c>
    </row>
    <row r="76" customFormat="false" ht="15" hidden="false" customHeight="false" outlineLevel="0" collapsed="false">
      <c r="A76" s="26" t="n">
        <v>64</v>
      </c>
      <c r="B76" s="14" t="n">
        <v>4125000000</v>
      </c>
      <c r="C76" s="12" t="s">
        <v>296</v>
      </c>
      <c r="D76" s="12"/>
      <c r="E76" s="24" t="n">
        <f aca="false">IF(B76="","",MAX(0,B76-$B$6))</f>
        <v>3543348370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51301630</v>
      </c>
      <c r="F7" s="22" t="n">
        <f aca="false">IF(ISNUMBER(D7),MAX(0,D7-E7),0)</f>
        <v>948698370</v>
      </c>
      <c r="G7" s="22" t="n">
        <f aca="false">IF(ISNUMBER(D7),ROUNDUP(D7/C7,0),"No limit")</f>
        <v>1000000000</v>
      </c>
      <c r="H7" s="22" t="n">
        <f aca="false">IFERROR(INT(E7/C7),0)</f>
        <v>51301630</v>
      </c>
      <c r="I7" s="22" t="n">
        <f aca="false">IFERROR(ROUNDUP(F7/C7,0),0)</f>
        <v>948698370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9000000</v>
      </c>
      <c r="F9" s="22" t="n">
        <f aca="false">IF(ISNUMBER(D9),MAX(0,D9-E9),0)</f>
        <v>6000000</v>
      </c>
      <c r="G9" s="22" t="n">
        <f aca="false">IF(ISNUMBER(D9),ROUNDUP(D9/C9,0),"No limit")</f>
        <v>5</v>
      </c>
      <c r="H9" s="22" t="n">
        <f aca="false">IFERROR(INT(E9/C9),0)</f>
        <v>3</v>
      </c>
      <c r="I9" s="22" t="n">
        <f aca="false">IFERROR(ROUNDUP(F9/C9,0),0)</f>
        <v>2</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9000000</v>
      </c>
      <c r="F23" s="22" t="n">
        <f aca="false">IF(ISNUMBER(D23),MAX(0,D23-E23),0)</f>
        <v>6000000</v>
      </c>
      <c r="G23" s="22" t="n">
        <f aca="false">IF(ISNUMBER(D23),ROUNDUP(D23/C23,0),"No limit")</f>
        <v>5</v>
      </c>
      <c r="H23" s="22" t="n">
        <f aca="false">IFERROR(INT(E23/C23),0)</f>
        <v>3</v>
      </c>
      <c r="I23" s="22" t="n">
        <f aca="false">IFERROR(ROUNDUP(F23/C23,0),0)</f>
        <v>2</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584651630</v>
      </c>
      <c r="F49" s="20"/>
    </row>
    <row r="50" customFormat="false" ht="15" hidden="false" customHeight="false" outlineLevel="0" collapsed="false">
      <c r="B50" s="16" t="s">
        <v>364</v>
      </c>
      <c r="E50" s="20"/>
      <c r="F50" s="20" t="n">
        <f aca="false">SUM(F5:F47)</f>
        <v>7352598370</v>
      </c>
    </row>
    <row r="51" customFormat="false" ht="15" hidden="false" customHeight="false" outlineLevel="0" collapsed="false">
      <c r="B51" s="16" t="s">
        <v>365</v>
      </c>
      <c r="E51" s="20"/>
      <c r="F51" s="20" t="n">
        <f aca="false">SUMIF(J5:J47,"Yes",F5:F47)</f>
        <v>5421000000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12080000</v>
      </c>
      <c r="C5" s="27" t="n">
        <v>1530000</v>
      </c>
      <c r="D5" s="27" t="n">
        <v>3960000</v>
      </c>
      <c r="E5" s="27" t="n">
        <v>15550000</v>
      </c>
      <c r="F5" s="27" t="n">
        <v>221</v>
      </c>
      <c r="G5" s="27" t="n">
        <v>869</v>
      </c>
      <c r="H5" s="27" t="n">
        <v>194</v>
      </c>
    </row>
    <row r="6" customFormat="false" ht="15" hidden="false" customHeight="false" outlineLevel="0" collapsed="false">
      <c r="A6" s="16" t="s">
        <v>378</v>
      </c>
      <c r="B6" s="28" t="n">
        <f aca="false">SUMIFS(B13:B76,$I$13:$I$76,"Yes",$J$13:$J$76,"No")</f>
        <v>27050000</v>
      </c>
      <c r="C6" s="28" t="n">
        <f aca="false">SUMIFS(C13:C76,$I$13:$I$76,"Yes",$J$13:$J$76,"No")</f>
        <v>3700000</v>
      </c>
      <c r="D6" s="28" t="n">
        <f aca="false">SUMIFS(D13:D76,$I$13:$I$76,"Yes",$J$13:$J$76,"No")</f>
        <v>3886000</v>
      </c>
      <c r="E6" s="28" t="n">
        <f aca="false">SUMIFS(E13:E76,$I$13:$I$76,"Yes",$J$13:$J$76,"No")</f>
        <v>3486000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39130000</v>
      </c>
      <c r="C7" s="28" t="n">
        <f aca="false">C5+C6</f>
        <v>5230000</v>
      </c>
      <c r="D7" s="28" t="n">
        <f aca="false">D5+D6</f>
        <v>7846000</v>
      </c>
      <c r="E7" s="28" t="n">
        <f aca="false">E5+E6</f>
        <v>19036000</v>
      </c>
      <c r="F7" s="28" t="n">
        <f aca="false">F5+F6</f>
        <v>221</v>
      </c>
      <c r="G7" s="28" t="n">
        <f aca="false">G5+G6</f>
        <v>969</v>
      </c>
      <c r="H7" s="28" t="n">
        <f aca="false">H5+H6</f>
        <v>1079</v>
      </c>
    </row>
    <row r="8" customFormat="false" ht="15" hidden="false" customHeight="false" outlineLevel="0" collapsed="false">
      <c r="A8" s="16" t="s">
        <v>380</v>
      </c>
      <c r="B8" s="28" t="n">
        <f aca="false">SUMIF($J$80:$J$101,"Planned",B80:B101)</f>
        <v>0</v>
      </c>
      <c r="C8" s="28" t="n">
        <f aca="false">SUMIF($J$80:$J$101,"Planned",C80:C101)</f>
        <v>1370000</v>
      </c>
      <c r="D8" s="28" t="n">
        <f aca="false">SUMIF($J$80:$J$101,"Planned",D80:D101)</f>
        <v>1370000</v>
      </c>
      <c r="E8" s="28" t="n">
        <f aca="false">SUMIF($J$80:$J$101,"Planned",E80:E101)</f>
        <v>2130000</v>
      </c>
      <c r="F8" s="28" t="n">
        <f aca="false">SUMIF($J$80:$J$101,"Planned",F80:F101)</f>
        <v>0</v>
      </c>
      <c r="G8" s="28" t="n">
        <f aca="false">SUMIF($J$80:$J$101,"Planned",G80:G101)</f>
        <v>0</v>
      </c>
      <c r="H8" s="28" t="n">
        <f aca="false">SUMIF($J$80:$J$101,"Planned",H80:H101)</f>
        <v>0</v>
      </c>
    </row>
    <row r="9" customFormat="false" ht="15" hidden="false" customHeight="false" outlineLevel="0" collapsed="false">
      <c r="A9" s="16" t="s">
        <v>381</v>
      </c>
      <c r="B9" s="29" t="n">
        <f aca="false">B7-B8</f>
        <v>39130000</v>
      </c>
      <c r="C9" s="29" t="n">
        <f aca="false">C7-C8</f>
        <v>3860000</v>
      </c>
      <c r="D9" s="29" t="n">
        <f aca="false">D7-D8</f>
        <v>6476000</v>
      </c>
      <c r="E9" s="29" t="n">
        <f aca="false">E7-E8</f>
        <v>16906000</v>
      </c>
      <c r="F9" s="29" t="n">
        <f aca="false">F7-F8</f>
        <v>221</v>
      </c>
      <c r="G9" s="29" t="n">
        <f aca="false">G7-G8</f>
        <v>969</v>
      </c>
      <c r="H9" s="29" t="n">
        <f aca="false">H7-H8</f>
        <v>1079</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311</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417</v>
      </c>
      <c r="D49" s="30" t="s">
        <v>387</v>
      </c>
      <c r="E49" s="30" t="n">
        <v>3300000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469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469</v>
      </c>
      <c r="K87" s="15" t="s">
        <v>484</v>
      </c>
    </row>
    <row r="88" customFormat="false" ht="15" hidden="false" customHeight="false" outlineLevel="0" collapsed="false">
      <c r="A88" s="12" t="s">
        <v>485</v>
      </c>
      <c r="B88" s="30" t="n">
        <v>1650000</v>
      </c>
      <c r="C88" s="30" t="n">
        <v>0</v>
      </c>
      <c r="D88" s="30" t="n">
        <v>0</v>
      </c>
      <c r="E88" s="30" t="n">
        <v>0</v>
      </c>
      <c r="F88" s="30" t="n">
        <v>3</v>
      </c>
      <c r="G88" s="30" t="n">
        <v>1</v>
      </c>
      <c r="H88" s="30" t="n">
        <v>164</v>
      </c>
      <c r="I88" s="30" t="n">
        <v>3000000</v>
      </c>
      <c r="J88" s="11" t="s">
        <v>486</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1370000</v>
      </c>
      <c r="D91" s="30" t="n">
        <v>1370000</v>
      </c>
      <c r="E91" s="30" t="n">
        <v>2130000</v>
      </c>
      <c r="F91" s="30" t="n">
        <v>0</v>
      </c>
      <c r="G91" s="30" t="n">
        <v>0</v>
      </c>
      <c r="H91" s="30" t="n">
        <v>0</v>
      </c>
      <c r="I91" s="30" t="n">
        <v>17000000</v>
      </c>
      <c r="J91" s="11" t="s">
        <v>479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37000000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1300000</v>
      </c>
      <c r="F6" s="20" t="n">
        <f aca="false">SUMPRODUCT((A13:A54&lt;=$B$9)*(H13:H54&lt;&gt;"Claimed")*F13:F54)</f>
        <v>4200000</v>
      </c>
      <c r="G6" s="20" t="n">
        <f aca="false">SUMPRODUCT((A13:A54&lt;=$B$9)*(H13:H54&lt;&gt;"Claimed")*G13:G54)</f>
        <v>5700000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15600301.6147948</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166</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2026-10-12T12:21:16Z</dcterms:created>
  <dc:creator>openpyxl</dc:creator>
  <dc:description/>
  <dc:language>en-US</dc:language>
  <cp:lastModifiedBy/>
  <dcterms:modified xsi:type="dcterms:W3CDTF">2026-10-12T12:21:16Z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