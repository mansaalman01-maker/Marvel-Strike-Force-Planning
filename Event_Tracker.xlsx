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<sst xmlns="http://schemas.openxmlformats.org/spreadsheetml/2006/main" count="1017" uniqueCount="528">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</sst>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520352529.035002</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3070000</v>
      </c>
      <c r="C5" s="26" t="n">
        <v>705800</v>
      </c>
      <c r="D5" s="26" t="n">
        <v>4370000</v>
      </c>
      <c r="E5" s="26" t="n">
        <v>14390000</v>
      </c>
      <c r="F5" s="26" t="n">
        <v>217</v>
      </c>
      <c r="G5" s="26" t="n">
        <v>667</v>
      </c>
      <c r="H5" s="26" t="n">
        <v>264</v>
      </c>
    </row>
    <row r="6" customFormat="false" ht="15" hidden="false" customHeight="false" outlineLevel="0" collapsed="false">
      <c r="A6" s="16" t="s">
        <v>315</v>
      </c>
      <c r="B6" s="27" t="n">
        <f aca="false">SUMIFS(B13:B54,$I$13:$I$54,"Yes",$J$13:$J$54,"No")</f>
        <v>20150000</v>
      </c>
      <c r="C6" s="27" t="n">
        <f aca="false">SUMIFS(C13:C54,$I$13:$I$54,"Yes",$J$13:$J$54,"No")</f>
        <v>4000000</v>
      </c>
      <c r="D6" s="27" t="n">
        <f aca="false">SUMIFS(D13:D54,$I$13:$I$54,"Yes",$J$13:$J$54,"No")</f>
        <v>3000000</v>
      </c>
      <c r="E6" s="27" t="n">
        <f aca="false">SUMIFS(E13:E54,$I$13:$I$54,"Yes",$J$13:$J$54,"No")</f>
        <v>2600000</v>
      </c>
      <c r="F6" s="27" t="n">
        <f aca="false">SUMIFS(F13:F54,$I$13:$I$54,"Yes",$J$13:$J$54,"No")</f>
        <v>0</v>
      </c>
      <c r="G6" s="27" t="n">
        <f aca="false">SUMIFS(G13:G54,$I$13:$I$54,"Yes",$J$13:$J$54,"No")</f>
        <v>100</v>
      </c>
      <c r="H6" s="27" t="n">
        <f aca="false">SUMIFS(H13:H54,$I$13:$I$54,"Yes",$J$13:$J$54,"No")</f>
        <v>190</v>
      </c>
    </row>
    <row r="7" customFormat="false" ht="15" hidden="false" customHeight="false" outlineLevel="0" collapsed="false">
      <c r="A7" s="16" t="s">
        <v>316</v>
      </c>
      <c r="B7" s="27" t="n">
        <f aca="false">B5+B6</f>
        <v>23220000</v>
      </c>
      <c r="C7" s="27" t="n">
        <f aca="false">C5+C6</f>
        <v>4705800</v>
      </c>
      <c r="D7" s="27" t="n">
        <f aca="false">D5+D6</f>
        <v>7370000</v>
      </c>
      <c r="E7" s="27" t="n">
        <f aca="false">E5+E6</f>
        <v>16990000</v>
      </c>
      <c r="F7" s="27" t="n">
        <f aca="false">F5+F6</f>
        <v>217</v>
      </c>
      <c r="G7" s="27" t="n">
        <f aca="false">G5+G6</f>
        <v>767</v>
      </c>
      <c r="H7" s="27" t="n">
        <f aca="false">H5+H6</f>
        <v>454</v>
      </c>
    </row>
    <row r="8" customFormat="false" ht="15" hidden="false" customHeight="false" outlineLevel="0" collapsed="false">
      <c r="A8" s="16" t="s">
        <v>317</v>
      </c>
      <c r="B8" s="27" t="n">
        <f aca="false">SUMIF($J$58:$J$76,"Planned",B58:B76)</f>
        <v>0</v>
      </c>
      <c r="C8" s="27" t="n">
        <f aca="false">SUMIF($J$58:$J$76,"Planned",C58:C76)</f>
        <v>1710000</v>
      </c>
      <c r="D8" s="27" t="n">
        <f aca="false">SUMIF($J$58:$J$76,"Planned",D58:D76)</f>
        <v>2640000</v>
      </c>
      <c r="E8" s="27" t="n">
        <f aca="false">SUMIF($J$58:$J$76,"Planned",E58:E76)</f>
        <v>1710000</v>
      </c>
      <c r="F8" s="27" t="n">
        <f aca="false">SUMIF($J$58:$J$76,"Planned",F58:F76)</f>
        <v>0</v>
      </c>
      <c r="G8" s="27" t="n">
        <f aca="false">SUMIF($J$58:$J$76,"Planned",G58:G76)</f>
        <v>0</v>
      </c>
      <c r="H8" s="27" t="n">
        <f aca="false">SUMIF($J$58:$J$76,"Planned",H58:H76)</f>
        <v>0</v>
      </c>
    </row>
    <row r="9" customFormat="false" ht="15" hidden="false" customHeight="false" outlineLevel="0" collapsed="false">
      <c r="A9" s="16" t="s">
        <v>318</v>
      </c>
      <c r="B9" s="28" t="n">
        <f aca="false">B7-B8</f>
        <v>23220000</v>
      </c>
      <c r="C9" s="28" t="n">
        <f aca="false">C7-C8</f>
        <v>2995800</v>
      </c>
      <c r="D9" s="28" t="n">
        <f aca="false">D7-D8</f>
        <v>4730000</v>
      </c>
      <c r="E9" s="28" t="n">
        <f aca="false">E7-E8</f>
        <v>15280000</v>
      </c>
      <c r="F9" s="28" t="n">
        <f aca="false">F7-F8</f>
        <v>217</v>
      </c>
      <c r="G9" s="28" t="n">
        <f aca="false">G7-G8</f>
        <v>767</v>
      </c>
      <c r="H9" s="28" t="n">
        <f aca="false">H7-H8</f>
        <v>454</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100000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253</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0</v>
      </c>
      <c r="E44" s="30" t="n">
        <v>0</v>
      </c>
      <c r="F44" s="30" t="n">
        <v>0</v>
      </c>
      <c r="G44" s="30" t="n">
        <v>0</v>
      </c>
      <c r="H44" s="30" t="n">
        <v>0</v>
      </c>
      <c r="I44" s="11" t="s">
        <v>253</v>
      </c>
      <c r="J44" s="11" t="s">
        <v>253</v>
      </c>
      <c r="K44" s="15" t="s">
        <v>366</v>
      </c>
    </row>
    <row r="45" customFormat="false" ht="15" hidden="false" customHeight="false" outlineLevel="0" collapsed="false">
      <c r="A45" s="12"/>
      <c r="B45" s="30"/>
      <c r="C45" s="30"/>
      <c r="D45" s="30"/>
      <c r="E45" s="30"/>
      <c r="F45" s="30"/>
      <c r="G45" s="30"/>
      <c r="H45" s="30"/>
      <c r="I45" s="11"/>
      <c r="J45" s="11"/>
      <c r="K45" s="12"/>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6" customFormat="false" ht="15" hidden="false" customHeight="false" outlineLevel="0" collapsed="false">
      <c r="A56" s="29" t="s">
        <v>367</v>
      </c>
    </row>
    <row r="57" customFormat="false" ht="26.85" hidden="false" customHeight="false" outlineLevel="0" collapsed="false">
      <c r="A57" s="3" t="s">
        <v>368</v>
      </c>
      <c r="B57" s="3" t="s">
        <v>307</v>
      </c>
      <c r="C57" s="3" t="s">
        <v>308</v>
      </c>
      <c r="D57" s="3" t="s">
        <v>309</v>
      </c>
      <c r="E57" s="3" t="s">
        <v>310</v>
      </c>
      <c r="F57" s="3" t="s">
        <v>311</v>
      </c>
      <c r="G57" s="3" t="s">
        <v>312</v>
      </c>
      <c r="H57" s="3" t="s">
        <v>313</v>
      </c>
      <c r="I57" s="3" t="s">
        <v>10</v>
      </c>
      <c r="J57" s="3" t="s">
        <v>12</v>
      </c>
      <c r="K57" s="3" t="s">
        <v>13</v>
      </c>
    </row>
    <row r="58" customFormat="false" ht="15" hidden="false" customHeight="false" outlineLevel="0" collapsed="false">
      <c r="A58" s="12" t="s">
        <v>369</v>
      </c>
      <c r="B58" s="30" t="n">
        <v>1837500</v>
      </c>
      <c r="C58" s="30" t="n">
        <v>0</v>
      </c>
      <c r="D58" s="30" t="n">
        <v>0</v>
      </c>
      <c r="E58" s="30" t="n">
        <v>0</v>
      </c>
      <c r="F58" s="30" t="n">
        <v>2</v>
      </c>
      <c r="G58" s="30" t="n">
        <v>1</v>
      </c>
      <c r="H58" s="30" t="n">
        <v>183</v>
      </c>
      <c r="I58" s="30" t="n">
        <v>0</v>
      </c>
      <c r="J58" s="11" t="s">
        <v>370</v>
      </c>
      <c r="K58" s="15" t="s">
        <v>371</v>
      </c>
    </row>
    <row r="59" customFormat="false" ht="15" hidden="false" customHeight="false" outlineLevel="0" collapsed="false">
      <c r="A59" s="12" t="s">
        <v>372</v>
      </c>
      <c r="B59" s="30" t="n">
        <v>0</v>
      </c>
      <c r="C59" s="30" t="n">
        <v>359800</v>
      </c>
      <c r="D59" s="30" t="n">
        <v>0</v>
      </c>
      <c r="E59" s="30" t="n">
        <v>0</v>
      </c>
      <c r="F59" s="30" t="n">
        <v>0</v>
      </c>
      <c r="G59" s="30" t="n">
        <v>0</v>
      </c>
      <c r="H59" s="30" t="n">
        <v>0</v>
      </c>
      <c r="I59" s="30" t="n">
        <v>0</v>
      </c>
      <c r="J59" s="11" t="s">
        <v>370</v>
      </c>
      <c r="K59" s="15"/>
    </row>
    <row r="60" customFormat="false" ht="15" hidden="false" customHeight="false" outlineLevel="0" collapsed="false">
      <c r="A60" s="12" t="s">
        <v>373</v>
      </c>
      <c r="B60" s="26"/>
      <c r="C60" s="30" t="n">
        <v>0</v>
      </c>
      <c r="D60" s="30" t="n">
        <v>0</v>
      </c>
      <c r="E60" s="30" t="n">
        <v>0</v>
      </c>
      <c r="F60" s="26"/>
      <c r="G60" s="26"/>
      <c r="H60" s="26"/>
      <c r="I60" s="30" t="n">
        <v>3000000</v>
      </c>
      <c r="J60" s="11" t="s">
        <v>374</v>
      </c>
      <c r="K60" s="15" t="s">
        <v>375</v>
      </c>
    </row>
    <row r="61" customFormat="false" ht="15" hidden="false" customHeight="false" outlineLevel="0" collapsed="false">
      <c r="A61" s="12" t="s">
        <v>376</v>
      </c>
      <c r="B61" s="26"/>
      <c r="C61" s="30" t="n">
        <v>0</v>
      </c>
      <c r="D61" s="30" t="n">
        <v>0</v>
      </c>
      <c r="E61" s="30" t="n">
        <v>0</v>
      </c>
      <c r="F61" s="26"/>
      <c r="G61" s="26"/>
      <c r="H61" s="26"/>
      <c r="I61" s="30" t="n">
        <v>3000000</v>
      </c>
      <c r="J61" s="11" t="s">
        <v>374</v>
      </c>
      <c r="K61" s="15" t="s">
        <v>375</v>
      </c>
    </row>
    <row r="62" customFormat="false" ht="15" hidden="false" customHeight="false" outlineLevel="0" collapsed="false">
      <c r="A62" s="12" t="s">
        <v>377</v>
      </c>
      <c r="B62" s="26"/>
      <c r="C62" s="30" t="n">
        <v>0</v>
      </c>
      <c r="D62" s="30" t="n">
        <v>0</v>
      </c>
      <c r="E62" s="30" t="n">
        <v>0</v>
      </c>
      <c r="F62" s="26"/>
      <c r="G62" s="26"/>
      <c r="H62" s="26"/>
      <c r="I62" s="30" t="n">
        <v>3000000</v>
      </c>
      <c r="J62" s="11" t="s">
        <v>374</v>
      </c>
      <c r="K62" s="15" t="s">
        <v>375</v>
      </c>
    </row>
    <row r="63" customFormat="false" ht="15" hidden="false" customHeight="false" outlineLevel="0" collapsed="false">
      <c r="A63" s="12" t="s">
        <v>378</v>
      </c>
      <c r="B63" s="26"/>
      <c r="C63" s="30" t="n">
        <v>0</v>
      </c>
      <c r="D63" s="30" t="n">
        <v>0</v>
      </c>
      <c r="E63" s="30" t="n">
        <v>0</v>
      </c>
      <c r="F63" s="26"/>
      <c r="G63" s="26"/>
      <c r="H63" s="26"/>
      <c r="I63" s="30" t="n">
        <v>3000000</v>
      </c>
      <c r="J63" s="11" t="s">
        <v>374</v>
      </c>
      <c r="K63" s="15" t="s">
        <v>375</v>
      </c>
    </row>
    <row r="64" customFormat="false" ht="15" hidden="false" customHeight="false" outlineLevel="0" collapsed="false">
      <c r="A64" s="12" t="s">
        <v>379</v>
      </c>
      <c r="B64" s="26"/>
      <c r="C64" s="30" t="n">
        <v>0</v>
      </c>
      <c r="D64" s="30" t="n">
        <v>0</v>
      </c>
      <c r="E64" s="30" t="n">
        <v>0</v>
      </c>
      <c r="F64" s="30" t="n">
        <v>0</v>
      </c>
      <c r="G64" s="30" t="n">
        <v>0</v>
      </c>
      <c r="H64" s="30" t="n">
        <v>0</v>
      </c>
      <c r="I64" s="30" t="n">
        <v>17000000</v>
      </c>
      <c r="J64" s="11" t="s">
        <v>374</v>
      </c>
      <c r="K64" s="15" t="s">
        <v>375</v>
      </c>
    </row>
    <row r="65" customFormat="false" ht="15" hidden="false" customHeight="false" outlineLevel="0" collapsed="false">
      <c r="A65" s="12" t="s">
        <v>380</v>
      </c>
      <c r="B65" s="30" t="n">
        <v>0</v>
      </c>
      <c r="C65" s="30" t="n">
        <v>1710000</v>
      </c>
      <c r="D65" s="30" t="n">
        <v>2640000</v>
      </c>
      <c r="E65" s="30" t="n">
        <v>1710000</v>
      </c>
      <c r="F65" s="30" t="n">
        <v>0</v>
      </c>
      <c r="G65" s="30" t="n">
        <v>0</v>
      </c>
      <c r="H65" s="30" t="n">
        <v>0</v>
      </c>
      <c r="I65" s="30" t="n">
        <v>17000000</v>
      </c>
      <c r="J65" s="11" t="s">
        <v>374</v>
      </c>
      <c r="K65" s="15" t="s">
        <v>381</v>
      </c>
    </row>
    <row r="66" customFormat="false" ht="15" hidden="false" customHeight="false" outlineLevel="0" collapsed="false">
      <c r="A66" s="12" t="s">
        <v>382</v>
      </c>
      <c r="B66" s="30" t="n">
        <v>0</v>
      </c>
      <c r="C66" s="26"/>
      <c r="D66" s="26"/>
      <c r="E66" s="26"/>
      <c r="F66" s="30" t="n">
        <v>0</v>
      </c>
      <c r="G66" s="30" t="n">
        <v>0</v>
      </c>
      <c r="H66" s="30" t="n">
        <v>0</v>
      </c>
      <c r="I66" s="30" t="n">
        <v>17000000</v>
      </c>
      <c r="J66" s="11" t="s">
        <v>374</v>
      </c>
      <c r="K66" s="15" t="s">
        <v>375</v>
      </c>
    </row>
    <row r="67" customFormat="false" ht="15" hidden="false" customHeight="false" outlineLevel="0" collapsed="false">
      <c r="A67" s="12" t="s">
        <v>383</v>
      </c>
      <c r="B67" s="30" t="n">
        <v>0</v>
      </c>
      <c r="C67" s="26"/>
      <c r="D67" s="26"/>
      <c r="E67" s="26"/>
      <c r="F67" s="30" t="n">
        <v>0</v>
      </c>
      <c r="G67" s="30" t="n">
        <v>0</v>
      </c>
      <c r="H67" s="30" t="n">
        <v>0</v>
      </c>
      <c r="I67" s="30" t="n">
        <v>17000000</v>
      </c>
      <c r="J67" s="11" t="s">
        <v>384</v>
      </c>
      <c r="K67" s="15" t="s">
        <v>375</v>
      </c>
    </row>
    <row r="68" customFormat="false" ht="15" hidden="false" customHeight="false" outlineLevel="0" collapsed="false">
      <c r="A68" s="12" t="s">
        <v>385</v>
      </c>
      <c r="B68" s="30" t="n">
        <v>0</v>
      </c>
      <c r="C68" s="26"/>
      <c r="D68" s="26"/>
      <c r="E68" s="26"/>
      <c r="F68" s="30" t="n">
        <v>0</v>
      </c>
      <c r="G68" s="30" t="n">
        <v>0</v>
      </c>
      <c r="H68" s="30" t="n">
        <v>0</v>
      </c>
      <c r="I68" s="30" t="n">
        <v>17000000</v>
      </c>
      <c r="J68" s="11" t="s">
        <v>384</v>
      </c>
      <c r="K68" s="15" t="s">
        <v>375</v>
      </c>
    </row>
    <row r="69" customFormat="false" ht="15" hidden="false" customHeight="false" outlineLevel="0" collapsed="false">
      <c r="A69" s="12" t="s">
        <v>386</v>
      </c>
      <c r="B69" s="30" t="n">
        <v>0</v>
      </c>
      <c r="C69" s="26"/>
      <c r="D69" s="26"/>
      <c r="E69" s="26"/>
      <c r="F69" s="30" t="n">
        <v>0</v>
      </c>
      <c r="G69" s="30" t="n">
        <v>0</v>
      </c>
      <c r="H69" s="30" t="n">
        <v>0</v>
      </c>
      <c r="I69" s="30" t="n">
        <v>17000000</v>
      </c>
      <c r="J69" s="11" t="s">
        <v>384</v>
      </c>
      <c r="K69" s="15" t="s">
        <v>375</v>
      </c>
    </row>
    <row r="70" customFormat="false" ht="15" hidden="false" customHeight="false" outlineLevel="0" collapsed="false">
      <c r="A70" s="12" t="s">
        <v>387</v>
      </c>
      <c r="B70" s="30" t="n">
        <v>13000000</v>
      </c>
      <c r="C70" s="30" t="n">
        <v>0</v>
      </c>
      <c r="D70" s="30" t="n">
        <v>0</v>
      </c>
      <c r="E70" s="30" t="n">
        <v>0</v>
      </c>
      <c r="F70" s="26"/>
      <c r="G70" s="26"/>
      <c r="H70" s="26"/>
      <c r="I70" s="30" t="n">
        <v>8000000</v>
      </c>
      <c r="J70" s="11" t="s">
        <v>384</v>
      </c>
      <c r="K70" s="15" t="s">
        <v>388</v>
      </c>
    </row>
    <row r="71" customFormat="false" ht="15" hidden="false" customHeight="false" outlineLevel="0" collapsed="false">
      <c r="A71" s="12"/>
      <c r="B71" s="30"/>
      <c r="C71" s="30"/>
      <c r="D71" s="30"/>
      <c r="E71" s="30"/>
      <c r="F71" s="30"/>
      <c r="G71" s="30"/>
      <c r="H71" s="30"/>
      <c r="I71" s="30"/>
      <c r="J71" s="11"/>
      <c r="K71" s="12"/>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8" customFormat="false" ht="15" hidden="false" customHeight="false" outlineLevel="0" collapsed="false">
      <c r="A78" s="16" t="s">
        <v>389</v>
      </c>
      <c r="I78" s="20" t="n">
        <f aca="false">SUMIF(J58:J76,"Planned",I58:I76)</f>
        <v>63000000</v>
      </c>
    </row>
  </sheetData>
  <conditionalFormatting sqref="B9:H9">
    <cfRule type="cellIs" priority="2" operator="lessThan" aboveAverage="0" equalAverage="0" bottom="0" percent="0" rank="0" text="" dxfId="12">
      <formula>0</formula>
    </cfRule>
  </conditionalFormatting>
  <conditionalFormatting sqref="J58:J76">
    <cfRule type="cellIs" priority="3" operator="equal" aboveAverage="0" equalAverage="0" bottom="0" percent="0" rank="0" text="" dxfId="8">
      <formula>"Done"</formula>
    </cfRule>
  </conditionalFormatting>
  <conditionalFormatting sqref="J13:J54">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4" type="list">
      <formula1>"Yes,No"</formula1>
      <formula2>0</formula2>
    </dataValidation>
    <dataValidation allowBlank="true" errorStyle="stop" operator="between" showDropDown="false" showErrorMessage="false" showInputMessage="false" sqref="J58:J76"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390</v>
      </c>
    </row>
    <row r="2" customFormat="false" ht="15" hidden="false" customHeight="false" outlineLevel="0" collapsed="false">
      <c r="A2" s="2" t="s">
        <v>391</v>
      </c>
    </row>
    <row r="4" customFormat="false" ht="26.85" hidden="false" customHeight="false" outlineLevel="0" collapsed="false">
      <c r="A4" s="3" t="s">
        <v>238</v>
      </c>
      <c r="B4" s="3" t="s">
        <v>237</v>
      </c>
      <c r="C4" s="3" t="s">
        <v>307</v>
      </c>
      <c r="D4" s="3" t="s">
        <v>392</v>
      </c>
      <c r="E4" s="3" t="s">
        <v>393</v>
      </c>
      <c r="F4" s="3" t="s">
        <v>394</v>
      </c>
      <c r="G4" s="3" t="s">
        <v>395</v>
      </c>
      <c r="H4" s="3" t="s">
        <v>396</v>
      </c>
      <c r="I4" s="3" t="s">
        <v>397</v>
      </c>
      <c r="J4" s="3" t="s">
        <v>398</v>
      </c>
      <c r="K4" s="3" t="s">
        <v>399</v>
      </c>
      <c r="L4" s="3" t="s">
        <v>400</v>
      </c>
    </row>
    <row r="5" customFormat="false" ht="15" hidden="false" customHeight="false" outlineLevel="0" collapsed="false">
      <c r="A5" s="31" t="s">
        <v>401</v>
      </c>
    </row>
    <row r="6" customFormat="false" ht="15" hidden="false" customHeight="false" outlineLevel="0" collapsed="false">
      <c r="A6" s="13" t="s">
        <v>402</v>
      </c>
      <c r="B6" s="13" t="s">
        <v>403</v>
      </c>
      <c r="C6" s="23" t="n">
        <v>25000</v>
      </c>
      <c r="D6" s="15" t="s">
        <v>404</v>
      </c>
      <c r="E6" s="32" t="s">
        <v>370</v>
      </c>
      <c r="F6" s="32"/>
      <c r="G6" s="32"/>
      <c r="H6" s="32"/>
      <c r="I6" s="32"/>
      <c r="J6" s="32"/>
      <c r="K6" s="32"/>
      <c r="L6" s="32"/>
    </row>
    <row r="7" customFormat="false" ht="15" hidden="false" customHeight="false" outlineLevel="0" collapsed="false">
      <c r="A7" s="13" t="s">
        <v>405</v>
      </c>
      <c r="B7" s="13" t="s">
        <v>403</v>
      </c>
      <c r="C7" s="23" t="n">
        <v>25000</v>
      </c>
      <c r="D7" s="15" t="s">
        <v>406</v>
      </c>
      <c r="E7" s="32" t="s">
        <v>370</v>
      </c>
      <c r="F7" s="32"/>
      <c r="G7" s="32"/>
      <c r="H7" s="32"/>
      <c r="I7" s="32"/>
      <c r="J7" s="32"/>
      <c r="K7" s="32"/>
      <c r="L7" s="32"/>
    </row>
    <row r="8" customFormat="false" ht="15" hidden="false" customHeight="false" outlineLevel="0" collapsed="false">
      <c r="A8" s="13" t="s">
        <v>407</v>
      </c>
      <c r="B8" s="13" t="s">
        <v>403</v>
      </c>
      <c r="C8" s="23" t="n">
        <v>50000</v>
      </c>
      <c r="D8" s="15" t="s">
        <v>408</v>
      </c>
      <c r="E8" s="32" t="s">
        <v>370</v>
      </c>
      <c r="F8" s="32"/>
      <c r="G8" s="32"/>
      <c r="H8" s="32"/>
      <c r="I8" s="32"/>
      <c r="J8" s="32"/>
      <c r="K8" s="32"/>
      <c r="L8" s="32"/>
    </row>
    <row r="9" customFormat="false" ht="15" hidden="false" customHeight="false" outlineLevel="0" collapsed="false">
      <c r="A9" s="13" t="s">
        <v>409</v>
      </c>
      <c r="B9" s="13" t="s">
        <v>403</v>
      </c>
      <c r="C9" s="23" t="n">
        <v>50000</v>
      </c>
      <c r="D9" s="15" t="s">
        <v>410</v>
      </c>
      <c r="E9" s="32" t="s">
        <v>370</v>
      </c>
      <c r="F9" s="32"/>
      <c r="G9" s="32"/>
      <c r="H9" s="32"/>
      <c r="I9" s="32"/>
      <c r="J9" s="32"/>
      <c r="K9" s="32"/>
      <c r="L9" s="32"/>
    </row>
    <row r="10" customFormat="false" ht="15" hidden="false" customHeight="false" outlineLevel="0" collapsed="false">
      <c r="A10" s="13" t="s">
        <v>411</v>
      </c>
      <c r="B10" s="13" t="s">
        <v>403</v>
      </c>
      <c r="C10" s="23" t="n">
        <v>50000</v>
      </c>
      <c r="D10" s="15" t="s">
        <v>408</v>
      </c>
      <c r="E10" s="32" t="s">
        <v>370</v>
      </c>
      <c r="F10" s="32"/>
      <c r="G10" s="32"/>
      <c r="H10" s="32"/>
      <c r="I10" s="32"/>
      <c r="J10" s="32"/>
      <c r="K10" s="32"/>
      <c r="L10" s="32"/>
    </row>
    <row r="11" customFormat="false" ht="15" hidden="false" customHeight="false" outlineLevel="0" collapsed="false">
      <c r="A11" s="13" t="s">
        <v>412</v>
      </c>
      <c r="B11" s="13" t="s">
        <v>403</v>
      </c>
      <c r="C11" s="23" t="n">
        <v>25000</v>
      </c>
      <c r="D11" s="15" t="s">
        <v>408</v>
      </c>
      <c r="E11" s="32" t="s">
        <v>370</v>
      </c>
      <c r="F11" s="32"/>
      <c r="G11" s="32"/>
      <c r="H11" s="32"/>
      <c r="I11" s="32"/>
      <c r="J11" s="32"/>
      <c r="K11" s="32"/>
      <c r="L11" s="32"/>
    </row>
    <row r="12" customFormat="false" ht="15" hidden="false" customHeight="false" outlineLevel="0" collapsed="false">
      <c r="A12" s="13" t="s">
        <v>413</v>
      </c>
      <c r="B12" s="13" t="s">
        <v>403</v>
      </c>
      <c r="C12" s="23" t="n">
        <v>25000</v>
      </c>
      <c r="D12" s="15" t="s">
        <v>414</v>
      </c>
      <c r="E12" s="32" t="s">
        <v>370</v>
      </c>
      <c r="F12" s="32"/>
      <c r="G12" s="32"/>
      <c r="H12" s="32"/>
      <c r="I12" s="32"/>
      <c r="J12" s="32"/>
      <c r="K12" s="32"/>
      <c r="L12" s="32"/>
    </row>
    <row r="13" customFormat="false" ht="15" hidden="false" customHeight="false" outlineLevel="0" collapsed="false">
      <c r="A13" s="13" t="s">
        <v>415</v>
      </c>
      <c r="B13" s="13" t="s">
        <v>403</v>
      </c>
      <c r="C13" s="23" t="n">
        <v>25000</v>
      </c>
      <c r="D13" s="15" t="s">
        <v>408</v>
      </c>
      <c r="E13" s="32" t="s">
        <v>370</v>
      </c>
      <c r="F13" s="32"/>
      <c r="G13" s="32"/>
      <c r="H13" s="32"/>
      <c r="I13" s="32"/>
      <c r="J13" s="32"/>
      <c r="K13" s="32"/>
      <c r="L13" s="32"/>
    </row>
    <row r="14" customFormat="false" ht="15" hidden="false" customHeight="false" outlineLevel="0" collapsed="false">
      <c r="A14" s="13" t="s">
        <v>416</v>
      </c>
      <c r="B14" s="13" t="s">
        <v>403</v>
      </c>
      <c r="C14" s="23" t="n">
        <v>50000</v>
      </c>
      <c r="D14" s="15" t="s">
        <v>417</v>
      </c>
      <c r="E14" s="32" t="s">
        <v>370</v>
      </c>
      <c r="F14" s="32"/>
      <c r="G14" s="32"/>
      <c r="H14" s="32"/>
      <c r="I14" s="32"/>
      <c r="J14" s="32"/>
      <c r="K14" s="32"/>
      <c r="L14" s="32"/>
    </row>
    <row r="15" customFormat="false" ht="15" hidden="false" customHeight="false" outlineLevel="0" collapsed="false">
      <c r="A15" s="13" t="s">
        <v>418</v>
      </c>
      <c r="B15" s="13" t="s">
        <v>403</v>
      </c>
      <c r="C15" s="23" t="n">
        <v>50000</v>
      </c>
      <c r="D15" s="15" t="s">
        <v>408</v>
      </c>
      <c r="E15" s="32" t="s">
        <v>370</v>
      </c>
      <c r="F15" s="32"/>
      <c r="G15" s="32"/>
      <c r="H15" s="32"/>
      <c r="I15" s="32"/>
      <c r="J15" s="32"/>
      <c r="K15" s="32"/>
      <c r="L15" s="32"/>
    </row>
    <row r="16" customFormat="false" ht="15" hidden="false" customHeight="false" outlineLevel="0" collapsed="false">
      <c r="A16" s="13" t="s">
        <v>419</v>
      </c>
      <c r="B16" s="13" t="s">
        <v>403</v>
      </c>
      <c r="C16" s="23" t="n">
        <v>1000000</v>
      </c>
      <c r="D16" s="15" t="s">
        <v>420</v>
      </c>
      <c r="E16" s="32" t="s">
        <v>370</v>
      </c>
      <c r="F16" s="32"/>
      <c r="G16" s="32"/>
      <c r="H16" s="32"/>
      <c r="I16" s="32"/>
      <c r="J16" s="32"/>
      <c r="K16" s="32"/>
      <c r="L16" s="32"/>
    </row>
    <row r="17" customFormat="false" ht="15" hidden="false" customHeight="false" outlineLevel="0" collapsed="false">
      <c r="A17" s="13" t="s">
        <v>421</v>
      </c>
      <c r="B17" s="13" t="s">
        <v>422</v>
      </c>
      <c r="C17" s="23" t="n">
        <v>100000</v>
      </c>
      <c r="D17" s="15" t="s">
        <v>423</v>
      </c>
      <c r="E17" s="32"/>
      <c r="F17" s="32"/>
      <c r="G17" s="32"/>
      <c r="H17" s="32"/>
      <c r="I17" s="32"/>
      <c r="J17" s="32"/>
      <c r="K17" s="32"/>
      <c r="L17" s="32"/>
    </row>
    <row r="18" customFormat="false" ht="15" hidden="false" customHeight="false" outlineLevel="0" collapsed="false">
      <c r="A18" s="13" t="s">
        <v>424</v>
      </c>
      <c r="B18" s="13" t="s">
        <v>422</v>
      </c>
      <c r="C18" s="23" t="n">
        <v>25000</v>
      </c>
      <c r="D18" s="15" t="s">
        <v>425</v>
      </c>
      <c r="E18" s="32" t="s">
        <v>370</v>
      </c>
      <c r="F18" s="32"/>
      <c r="G18" s="32"/>
      <c r="H18" s="32"/>
      <c r="I18" s="32"/>
      <c r="J18" s="32"/>
      <c r="K18" s="32"/>
      <c r="L18" s="32"/>
    </row>
    <row r="19" customFormat="false" ht="15" hidden="false" customHeight="false" outlineLevel="0" collapsed="false">
      <c r="A19" s="13" t="s">
        <v>426</v>
      </c>
      <c r="B19" s="13" t="s">
        <v>422</v>
      </c>
      <c r="C19" s="23" t="n">
        <v>25000</v>
      </c>
      <c r="D19" s="15" t="s">
        <v>427</v>
      </c>
      <c r="E19" s="32" t="s">
        <v>370</v>
      </c>
      <c r="F19" s="32"/>
      <c r="G19" s="32"/>
      <c r="H19" s="32"/>
      <c r="I19" s="32"/>
      <c r="J19" s="32"/>
      <c r="K19" s="32"/>
      <c r="L19" s="32"/>
    </row>
    <row r="20" customFormat="false" ht="15" hidden="false" customHeight="false" outlineLevel="0" collapsed="false">
      <c r="A20" s="13" t="s">
        <v>428</v>
      </c>
      <c r="B20" s="13" t="s">
        <v>422</v>
      </c>
      <c r="C20" s="23" t="n">
        <v>75000</v>
      </c>
      <c r="D20" s="15" t="s">
        <v>429</v>
      </c>
      <c r="E20" s="32" t="s">
        <v>370</v>
      </c>
      <c r="F20" s="32"/>
      <c r="G20" s="32"/>
      <c r="H20" s="32"/>
      <c r="I20" s="32"/>
      <c r="J20" s="32"/>
      <c r="K20" s="32"/>
      <c r="L20" s="32"/>
    </row>
    <row r="21" customFormat="false" ht="15" hidden="false" customHeight="false" outlineLevel="0" collapsed="false">
      <c r="A21" s="31" t="s">
        <v>430</v>
      </c>
    </row>
    <row r="22" customFormat="false" ht="15" hidden="false" customHeight="false" outlineLevel="0" collapsed="false">
      <c r="A22" s="13" t="s">
        <v>431</v>
      </c>
      <c r="B22" s="13" t="s">
        <v>432</v>
      </c>
      <c r="C22" s="23" t="n">
        <v>0</v>
      </c>
      <c r="D22" s="15" t="s">
        <v>433</v>
      </c>
      <c r="E22" s="32" t="s">
        <v>370</v>
      </c>
      <c r="F22" s="32"/>
      <c r="G22" s="32"/>
      <c r="H22" s="32"/>
      <c r="I22" s="32"/>
      <c r="J22" s="32"/>
      <c r="K22" s="32"/>
      <c r="L22" s="32"/>
    </row>
    <row r="23" customFormat="false" ht="15" hidden="false" customHeight="false" outlineLevel="0" collapsed="false">
      <c r="A23" s="13" t="s">
        <v>434</v>
      </c>
      <c r="B23" s="13" t="s">
        <v>432</v>
      </c>
      <c r="C23" s="23" t="n">
        <v>0</v>
      </c>
      <c r="D23" s="15" t="s">
        <v>433</v>
      </c>
      <c r="E23" s="32"/>
      <c r="F23" s="32"/>
      <c r="G23" s="32"/>
      <c r="H23" s="32"/>
      <c r="I23" s="32"/>
      <c r="J23" s="32"/>
      <c r="K23" s="32"/>
      <c r="L23" s="32"/>
    </row>
    <row r="24" customFormat="false" ht="15" hidden="false" customHeight="false" outlineLevel="0" collapsed="false">
      <c r="A24" s="13" t="s">
        <v>435</v>
      </c>
      <c r="B24" s="13" t="s">
        <v>432</v>
      </c>
      <c r="C24" s="23" t="n">
        <v>0</v>
      </c>
      <c r="D24" s="15" t="s">
        <v>433</v>
      </c>
      <c r="E24" s="32"/>
      <c r="F24" s="32"/>
      <c r="G24" s="32"/>
      <c r="H24" s="32"/>
      <c r="I24" s="32"/>
      <c r="J24" s="32"/>
      <c r="K24" s="32"/>
      <c r="L24" s="32"/>
    </row>
    <row r="25" customFormat="false" ht="15" hidden="false" customHeight="false" outlineLevel="0" collapsed="false">
      <c r="A25" s="13" t="s">
        <v>436</v>
      </c>
      <c r="B25" s="13" t="s">
        <v>437</v>
      </c>
      <c r="C25" s="23" t="n">
        <v>900000</v>
      </c>
      <c r="D25" s="15" t="s">
        <v>438</v>
      </c>
      <c r="E25" s="32" t="s">
        <v>370</v>
      </c>
      <c r="F25" s="32"/>
      <c r="G25" s="32"/>
      <c r="H25" s="32"/>
      <c r="I25" s="32"/>
      <c r="J25" s="32"/>
      <c r="K25" s="32"/>
      <c r="L25" s="32"/>
    </row>
    <row r="26" customFormat="false" ht="15" hidden="false" customHeight="false" outlineLevel="0" collapsed="false">
      <c r="A26" s="13" t="s">
        <v>439</v>
      </c>
      <c r="B26" s="13" t="s">
        <v>437</v>
      </c>
      <c r="C26" s="23" t="n">
        <v>0</v>
      </c>
      <c r="D26" s="15" t="s">
        <v>440</v>
      </c>
      <c r="E26" s="32" t="s">
        <v>370</v>
      </c>
      <c r="F26" s="32"/>
      <c r="G26" s="32"/>
      <c r="H26" s="32"/>
      <c r="I26" s="32"/>
      <c r="J26" s="32"/>
      <c r="K26" s="32"/>
      <c r="L26" s="32"/>
    </row>
    <row r="27" customFormat="false" ht="15" hidden="false" customHeight="false" outlineLevel="0" collapsed="false">
      <c r="A27" s="13" t="s">
        <v>441</v>
      </c>
      <c r="B27" s="13" t="s">
        <v>442</v>
      </c>
      <c r="C27" s="23" t="n">
        <v>0</v>
      </c>
      <c r="D27" s="15" t="s">
        <v>443</v>
      </c>
      <c r="E27" s="32"/>
      <c r="F27" s="32"/>
      <c r="G27" s="32"/>
      <c r="H27" s="32"/>
      <c r="I27" s="32"/>
      <c r="J27" s="32"/>
      <c r="K27" s="32"/>
      <c r="L27" s="32"/>
    </row>
    <row r="28" customFormat="false" ht="15" hidden="false" customHeight="false" outlineLevel="0" collapsed="false">
      <c r="A28" s="13" t="s">
        <v>444</v>
      </c>
      <c r="B28" s="13" t="s">
        <v>445</v>
      </c>
      <c r="C28" s="23" t="n">
        <v>0</v>
      </c>
      <c r="D28" s="15" t="s">
        <v>446</v>
      </c>
      <c r="E28" s="32"/>
      <c r="F28" s="32"/>
      <c r="G28" s="32"/>
      <c r="H28" s="32"/>
      <c r="I28" s="32"/>
      <c r="J28" s="32"/>
      <c r="K28" s="32"/>
      <c r="L28" s="32"/>
    </row>
    <row r="29" customFormat="false" ht="15" hidden="false" customHeight="false" outlineLevel="0" collapsed="false">
      <c r="A29" s="31" t="s">
        <v>447</v>
      </c>
    </row>
    <row r="30" customFormat="false" ht="15" hidden="false" customHeight="false" outlineLevel="0" collapsed="false">
      <c r="A30" s="13" t="s">
        <v>448</v>
      </c>
      <c r="B30" s="13" t="s">
        <v>449</v>
      </c>
      <c r="C30" s="23" t="n">
        <v>0</v>
      </c>
      <c r="D30" s="15" t="s">
        <v>450</v>
      </c>
      <c r="E30" s="32"/>
      <c r="F30" s="32"/>
      <c r="G30" s="32"/>
      <c r="H30" s="32"/>
      <c r="I30" s="32"/>
      <c r="J30" s="32"/>
      <c r="K30" s="32"/>
      <c r="L30" s="32"/>
    </row>
    <row r="31" customFormat="false" ht="15" hidden="false" customHeight="false" outlineLevel="0" collapsed="false">
      <c r="A31" s="13" t="s">
        <v>451</v>
      </c>
      <c r="B31" s="13" t="s">
        <v>449</v>
      </c>
      <c r="C31" s="23" t="n">
        <v>0</v>
      </c>
      <c r="D31" s="15" t="s">
        <v>452</v>
      </c>
      <c r="E31" s="32"/>
      <c r="F31" s="32"/>
      <c r="G31" s="32"/>
      <c r="H31" s="32"/>
      <c r="I31" s="32"/>
      <c r="J31" s="32"/>
      <c r="K31" s="32"/>
      <c r="L31" s="32"/>
    </row>
    <row r="32" customFormat="false" ht="15" hidden="false" customHeight="false" outlineLevel="0" collapsed="false">
      <c r="A32" s="13" t="s">
        <v>453</v>
      </c>
      <c r="B32" s="13" t="s">
        <v>449</v>
      </c>
      <c r="C32" s="23" t="n">
        <v>0</v>
      </c>
      <c r="D32" s="15" t="s">
        <v>454</v>
      </c>
      <c r="E32" s="32"/>
      <c r="F32" s="32"/>
      <c r="G32" s="32"/>
      <c r="H32" s="32"/>
      <c r="I32" s="32"/>
      <c r="J32" s="32"/>
      <c r="K32" s="32"/>
      <c r="L32" s="32"/>
    </row>
    <row r="33" customFormat="false" ht="15" hidden="false" customHeight="false" outlineLevel="0" collapsed="false">
      <c r="A33" s="13" t="s">
        <v>455</v>
      </c>
      <c r="B33" s="13" t="s">
        <v>456</v>
      </c>
      <c r="C33" s="23" t="n">
        <v>0</v>
      </c>
      <c r="D33" s="15" t="s">
        <v>457</v>
      </c>
      <c r="E33" s="32" t="s">
        <v>370</v>
      </c>
      <c r="F33" s="32"/>
      <c r="G33" s="32"/>
      <c r="H33" s="32"/>
      <c r="I33" s="32"/>
      <c r="J33" s="32"/>
      <c r="K33" s="32"/>
      <c r="L33" s="32"/>
    </row>
    <row r="34" customFormat="false" ht="15" hidden="false" customHeight="false" outlineLevel="0" collapsed="false">
      <c r="A34" s="13" t="s">
        <v>458</v>
      </c>
      <c r="B34" s="13" t="s">
        <v>456</v>
      </c>
      <c r="C34" s="23" t="n">
        <v>0</v>
      </c>
      <c r="D34" s="15" t="s">
        <v>459</v>
      </c>
      <c r="E34" s="32"/>
      <c r="F34" s="32"/>
      <c r="G34" s="32"/>
      <c r="H34" s="32"/>
      <c r="I34" s="32"/>
      <c r="J34" s="32"/>
      <c r="K34" s="32"/>
      <c r="L34" s="32"/>
    </row>
    <row r="35" customFormat="false" ht="15" hidden="false" customHeight="false" outlineLevel="0" collapsed="false">
      <c r="A35" s="13" t="s">
        <v>460</v>
      </c>
      <c r="B35" s="13" t="s">
        <v>456</v>
      </c>
      <c r="C35" s="23" t="n">
        <v>0</v>
      </c>
      <c r="D35" s="15" t="s">
        <v>459</v>
      </c>
      <c r="E35" s="32"/>
      <c r="F35" s="32"/>
      <c r="G35" s="32"/>
      <c r="H35" s="32"/>
      <c r="I35" s="32"/>
      <c r="J35" s="32"/>
      <c r="K35" s="32"/>
      <c r="L35" s="32"/>
    </row>
    <row r="36" customFormat="false" ht="15" hidden="false" customHeight="false" outlineLevel="0" collapsed="false">
      <c r="A36" s="13" t="s">
        <v>461</v>
      </c>
      <c r="B36" s="13" t="s">
        <v>449</v>
      </c>
      <c r="C36" s="23" t="n">
        <v>0</v>
      </c>
      <c r="D36" s="15" t="s">
        <v>462</v>
      </c>
      <c r="E36" s="32"/>
      <c r="F36" s="32"/>
      <c r="G36" s="32"/>
      <c r="H36" s="32"/>
      <c r="I36" s="32"/>
      <c r="J36" s="32"/>
      <c r="K36" s="32"/>
      <c r="L36" s="32"/>
    </row>
    <row r="37" customFormat="false" ht="15" hidden="false" customHeight="false" outlineLevel="0" collapsed="false">
      <c r="A37" s="13" t="s">
        <v>463</v>
      </c>
      <c r="B37" s="13" t="s">
        <v>449</v>
      </c>
      <c r="C37" s="23" t="n">
        <v>0</v>
      </c>
      <c r="D37" s="15" t="s">
        <v>464</v>
      </c>
      <c r="E37" s="32"/>
      <c r="F37" s="32"/>
      <c r="G37" s="32"/>
      <c r="H37" s="32"/>
      <c r="I37" s="32"/>
      <c r="J37" s="32"/>
      <c r="K37" s="32"/>
      <c r="L37" s="32"/>
    </row>
    <row r="39" customFormat="false" ht="15" hidden="false" customHeight="false" outlineLevel="0" collapsed="false">
      <c r="A39" s="16" t="s">
        <v>465</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466</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467</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468</v>
      </c>
    </row>
    <row r="2" customFormat="false" ht="15" hidden="false" customHeight="false" outlineLevel="0" collapsed="false">
      <c r="A2" s="2" t="s">
        <v>469</v>
      </c>
    </row>
    <row r="4" customFormat="false" ht="15" hidden="false" customHeight="false" outlineLevel="0" collapsed="false">
      <c r="A4" s="16" t="s">
        <v>155</v>
      </c>
      <c r="B4" s="17" t="s">
        <v>470</v>
      </c>
      <c r="D4" s="16" t="s">
        <v>471</v>
      </c>
    </row>
    <row r="5" customFormat="false" ht="15" hidden="false" customHeight="false" outlineLevel="0" collapsed="false">
      <c r="A5" s="16" t="s">
        <v>157</v>
      </c>
      <c r="B5" s="18" t="n">
        <v>46313.6875</v>
      </c>
      <c r="E5" s="16" t="s">
        <v>472</v>
      </c>
      <c r="F5" s="16" t="s">
        <v>473</v>
      </c>
      <c r="G5" s="16" t="s">
        <v>474</v>
      </c>
    </row>
    <row r="6" customFormat="false" ht="15" hidden="false" customHeight="false" outlineLevel="0" collapsed="false">
      <c r="A6" s="16" t="s">
        <v>158</v>
      </c>
      <c r="B6" s="19" t="n">
        <v>285372765</v>
      </c>
      <c r="D6" s="17" t="s">
        <v>475</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14627235</v>
      </c>
    </row>
    <row r="9" customFormat="false" ht="15" hidden="false" customHeight="false" outlineLevel="0" collapsed="false">
      <c r="A9" s="16" t="s">
        <v>476</v>
      </c>
      <c r="B9" s="34" t="n">
        <v>20</v>
      </c>
    </row>
    <row r="10" customFormat="false" ht="15" hidden="false" customHeight="false" outlineLevel="0" collapsed="false">
      <c r="A10" s="16" t="s">
        <v>477</v>
      </c>
      <c r="B10" s="20" t="n">
        <f aca="false">MAX(0,INDEX(B13:B54,B9)-B6)</f>
        <v>139627235</v>
      </c>
    </row>
    <row r="11" customFormat="false" ht="15" hidden="false" customHeight="false" outlineLevel="0" collapsed="false">
      <c r="A11" s="16" t="s">
        <v>478</v>
      </c>
      <c r="B11" s="20" t="n">
        <f aca="true">IFERROR(B10/MAX(B5-NOW(),0.01),0)</f>
        <v>19638572.9888335</v>
      </c>
    </row>
    <row r="12" customFormat="false" ht="15" hidden="false" customHeight="false" outlineLevel="0" collapsed="false">
      <c r="A12" s="3" t="s">
        <v>167</v>
      </c>
      <c r="B12" s="3" t="s">
        <v>168</v>
      </c>
      <c r="C12" s="3" t="s">
        <v>479</v>
      </c>
      <c r="D12" s="3" t="s">
        <v>392</v>
      </c>
      <c r="E12" s="3" t="s">
        <v>472</v>
      </c>
      <c r="F12" s="3" t="s">
        <v>473</v>
      </c>
      <c r="G12" s="3" t="s">
        <v>474</v>
      </c>
      <c r="H12" s="3" t="s">
        <v>12</v>
      </c>
      <c r="I12" s="3" t="s">
        <v>170</v>
      </c>
    </row>
    <row r="13" customFormat="false" ht="15" hidden="false" customHeight="false" outlineLevel="0" collapsed="false">
      <c r="A13" s="22" t="n">
        <v>1</v>
      </c>
      <c r="B13" s="26"/>
      <c r="C13" s="12"/>
      <c r="D13" s="12" t="s">
        <v>480</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481</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482</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482</v>
      </c>
      <c r="E16" s="30" t="n">
        <v>0</v>
      </c>
      <c r="F16" s="30" t="n">
        <v>0</v>
      </c>
      <c r="G16" s="30" t="n">
        <v>0</v>
      </c>
      <c r="H16" s="11" t="s">
        <v>172</v>
      </c>
      <c r="I16" s="23" t="str">
        <f aca="false">IF(B16="","",MAX(0,B16-$B$6))</f>
        <v/>
      </c>
    </row>
    <row r="17" customFormat="false" ht="15" hidden="false" customHeight="false" outlineLevel="0" collapsed="false">
      <c r="A17" s="22" t="n">
        <v>5</v>
      </c>
      <c r="B17" s="26"/>
      <c r="C17" s="12" t="s">
        <v>483</v>
      </c>
      <c r="D17" s="12" t="s">
        <v>484</v>
      </c>
      <c r="E17" s="30" t="n">
        <v>0</v>
      </c>
      <c r="F17" s="30" t="n">
        <v>0</v>
      </c>
      <c r="G17" s="30" t="n">
        <v>0</v>
      </c>
      <c r="H17" s="11" t="s">
        <v>172</v>
      </c>
      <c r="I17" s="23" t="str">
        <f aca="false">IF(B17="","",MAX(0,B17-$B$6))</f>
        <v/>
      </c>
    </row>
    <row r="18" customFormat="false" ht="15" hidden="false" customHeight="false" outlineLevel="0" collapsed="false">
      <c r="A18" s="22" t="n">
        <v>6</v>
      </c>
      <c r="B18" s="26"/>
      <c r="C18" s="12" t="s">
        <v>485</v>
      </c>
      <c r="D18" s="12" t="s">
        <v>486</v>
      </c>
      <c r="E18" s="30" t="n">
        <v>0</v>
      </c>
      <c r="F18" s="30" t="n">
        <v>0</v>
      </c>
      <c r="G18" s="30" t="n">
        <v>0</v>
      </c>
      <c r="H18" s="11" t="s">
        <v>172</v>
      </c>
      <c r="I18" s="23" t="str">
        <f aca="false">IF(B18="","",MAX(0,B18-$B$6))</f>
        <v/>
      </c>
    </row>
    <row r="19" customFormat="false" ht="15" hidden="false" customHeight="false" outlineLevel="0" collapsed="false">
      <c r="A19" s="22" t="n">
        <v>7</v>
      </c>
      <c r="B19" s="26"/>
      <c r="C19" s="12" t="s">
        <v>487</v>
      </c>
      <c r="D19" s="12" t="s">
        <v>488</v>
      </c>
      <c r="E19" s="30" t="n">
        <v>0</v>
      </c>
      <c r="F19" s="30" t="n">
        <v>0</v>
      </c>
      <c r="G19" s="30" t="n">
        <v>0</v>
      </c>
      <c r="H19" s="11" t="s">
        <v>172</v>
      </c>
      <c r="I19" s="23" t="str">
        <f aca="false">IF(B19="","",MAX(0,B19-$B$6))</f>
        <v/>
      </c>
    </row>
    <row r="20" customFormat="false" ht="15" hidden="false" customHeight="false" outlineLevel="0" collapsed="false">
      <c r="A20" s="22" t="n">
        <v>8</v>
      </c>
      <c r="B20" s="26"/>
      <c r="C20" s="12" t="s">
        <v>489</v>
      </c>
      <c r="D20" s="12" t="s">
        <v>490</v>
      </c>
      <c r="E20" s="30" t="n">
        <v>0</v>
      </c>
      <c r="F20" s="30" t="n">
        <v>0</v>
      </c>
      <c r="G20" s="30" t="n">
        <v>0</v>
      </c>
      <c r="H20" s="11" t="s">
        <v>172</v>
      </c>
      <c r="I20" s="23" t="str">
        <f aca="false">IF(B20="","",MAX(0,B20-$B$6))</f>
        <v/>
      </c>
    </row>
    <row r="21" customFormat="false" ht="15" hidden="false" customHeight="false" outlineLevel="0" collapsed="false">
      <c r="A21" s="22" t="n">
        <v>9</v>
      </c>
      <c r="B21" s="26"/>
      <c r="C21" s="12" t="s">
        <v>491</v>
      </c>
      <c r="D21" s="12" t="s">
        <v>492</v>
      </c>
      <c r="E21" s="30" t="n">
        <v>0</v>
      </c>
      <c r="F21" s="30" t="n">
        <v>0</v>
      </c>
      <c r="G21" s="30" t="n">
        <v>0</v>
      </c>
      <c r="H21" s="11" t="s">
        <v>172</v>
      </c>
      <c r="I21" s="23" t="str">
        <f aca="false">IF(B21="","",MAX(0,B21-$B$6))</f>
        <v/>
      </c>
    </row>
    <row r="22" customFormat="false" ht="15" hidden="false" customHeight="false" outlineLevel="0" collapsed="false">
      <c r="A22" s="22" t="n">
        <v>10</v>
      </c>
      <c r="B22" s="26"/>
      <c r="C22" s="12" t="s">
        <v>493</v>
      </c>
      <c r="D22" s="12" t="s">
        <v>494</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495</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496</v>
      </c>
      <c r="D24" s="12" t="s">
        <v>497</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498</v>
      </c>
      <c r="D25" s="12" t="s">
        <v>497</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499</v>
      </c>
      <c r="D26" s="12" t="s">
        <v>497</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497</v>
      </c>
      <c r="E27" s="30" t="n">
        <v>900000</v>
      </c>
      <c r="F27" s="30" t="n">
        <v>1300000</v>
      </c>
      <c r="G27" s="30" t="n">
        <v>1900000</v>
      </c>
      <c r="H27" s="11" t="s">
        <v>207</v>
      </c>
      <c r="I27" s="23" t="n">
        <f aca="false">IF(B27="","",MAX(0,B27-$B$6))</f>
        <v>14627235</v>
      </c>
    </row>
    <row r="28" customFormat="false" ht="15" hidden="false" customHeight="false" outlineLevel="0" collapsed="false">
      <c r="A28" s="22" t="n">
        <v>16</v>
      </c>
      <c r="B28" s="30" t="n">
        <v>325000000</v>
      </c>
      <c r="C28" s="12" t="s">
        <v>500</v>
      </c>
      <c r="D28" s="12" t="s">
        <v>497</v>
      </c>
      <c r="E28" s="30" t="n">
        <v>950000</v>
      </c>
      <c r="F28" s="30" t="n">
        <v>0</v>
      </c>
      <c r="G28" s="30" t="n">
        <v>1900000</v>
      </c>
      <c r="H28" s="11" t="s">
        <v>207</v>
      </c>
      <c r="I28" s="23" t="n">
        <f aca="false">IF(B28="","",MAX(0,B28-$B$6))</f>
        <v>39627235</v>
      </c>
    </row>
    <row r="29" customFormat="false" ht="15" hidden="false" customHeight="false" outlineLevel="0" collapsed="false">
      <c r="A29" s="22" t="n">
        <v>17</v>
      </c>
      <c r="B29" s="30" t="n">
        <v>350000000</v>
      </c>
      <c r="C29" s="12" t="s">
        <v>501</v>
      </c>
      <c r="D29" s="12" t="s">
        <v>497</v>
      </c>
      <c r="E29" s="30" t="n">
        <v>0</v>
      </c>
      <c r="F29" s="30" t="n">
        <v>1400000</v>
      </c>
      <c r="G29" s="30" t="n">
        <v>1900000</v>
      </c>
      <c r="H29" s="11" t="s">
        <v>207</v>
      </c>
      <c r="I29" s="23" t="n">
        <f aca="false">IF(B29="","",MAX(0,B29-$B$6))</f>
        <v>64627235</v>
      </c>
    </row>
    <row r="30" customFormat="false" ht="15" hidden="false" customHeight="false" outlineLevel="0" collapsed="false">
      <c r="A30" s="22" t="n">
        <v>18</v>
      </c>
      <c r="B30" s="30" t="n">
        <v>375000000</v>
      </c>
      <c r="C30" s="12" t="s">
        <v>502</v>
      </c>
      <c r="D30" s="12" t="s">
        <v>503</v>
      </c>
      <c r="E30" s="26"/>
      <c r="F30" s="26"/>
      <c r="G30" s="26"/>
      <c r="H30" s="11" t="s">
        <v>207</v>
      </c>
      <c r="I30" s="23" t="n">
        <f aca="false">IF(B30="","",MAX(0,B30-$B$6))</f>
        <v>89627235</v>
      </c>
    </row>
    <row r="31" customFormat="false" ht="15" hidden="false" customHeight="false" outlineLevel="0" collapsed="false">
      <c r="A31" s="22" t="n">
        <v>19</v>
      </c>
      <c r="B31" s="30" t="n">
        <v>400000000</v>
      </c>
      <c r="C31" s="12" t="s">
        <v>504</v>
      </c>
      <c r="D31" s="12" t="s">
        <v>497</v>
      </c>
      <c r="E31" s="30" t="n">
        <v>0</v>
      </c>
      <c r="F31" s="30" t="n">
        <v>1400000</v>
      </c>
      <c r="G31" s="30" t="n">
        <v>1900000</v>
      </c>
      <c r="H31" s="11" t="s">
        <v>207</v>
      </c>
      <c r="I31" s="23" t="n">
        <f aca="false">IF(B31="","",MAX(0,B31-$B$6))</f>
        <v>114627235</v>
      </c>
    </row>
    <row r="32" customFormat="false" ht="15" hidden="false" customHeight="false" outlineLevel="0" collapsed="false">
      <c r="A32" s="22" t="n">
        <v>20</v>
      </c>
      <c r="B32" s="30" t="n">
        <v>425000000</v>
      </c>
      <c r="C32" s="12" t="s">
        <v>505</v>
      </c>
      <c r="D32" s="12"/>
      <c r="E32" s="30" t="n">
        <v>1300000</v>
      </c>
      <c r="F32" s="30" t="n">
        <v>1400000</v>
      </c>
      <c r="G32" s="30" t="n">
        <v>1900000</v>
      </c>
      <c r="H32" s="11" t="s">
        <v>207</v>
      </c>
      <c r="I32" s="23" t="n">
        <f aca="false">IF(B32="","",MAX(0,B32-$B$6))</f>
        <v>139627235</v>
      </c>
    </row>
    <row r="33" customFormat="false" ht="15" hidden="false" customHeight="false" outlineLevel="0" collapsed="false">
      <c r="A33" s="22" t="n">
        <v>21</v>
      </c>
      <c r="B33" s="30" t="n">
        <v>450000000</v>
      </c>
      <c r="C33" s="12" t="s">
        <v>506</v>
      </c>
      <c r="D33" s="12" t="s">
        <v>497</v>
      </c>
      <c r="E33" s="30" t="n">
        <v>0</v>
      </c>
      <c r="F33" s="30" t="n">
        <v>1400000</v>
      </c>
      <c r="G33" s="30" t="n">
        <v>1900000</v>
      </c>
      <c r="H33" s="11" t="s">
        <v>207</v>
      </c>
      <c r="I33" s="23" t="n">
        <f aca="false">IF(B33="","",MAX(0,B33-$B$6))</f>
        <v>164627235</v>
      </c>
    </row>
    <row r="34" customFormat="false" ht="15" hidden="false" customHeight="false" outlineLevel="0" collapsed="false">
      <c r="A34" s="22" t="n">
        <v>22</v>
      </c>
      <c r="B34" s="30" t="n">
        <v>475000000</v>
      </c>
      <c r="C34" s="12" t="s">
        <v>507</v>
      </c>
      <c r="D34" s="12"/>
      <c r="E34" s="30" t="n">
        <v>1300000</v>
      </c>
      <c r="F34" s="30" t="n">
        <v>1400000</v>
      </c>
      <c r="G34" s="30" t="n">
        <v>1900000</v>
      </c>
      <c r="H34" s="11" t="s">
        <v>207</v>
      </c>
      <c r="I34" s="23" t="n">
        <f aca="false">IF(B34="","",MAX(0,B34-$B$6))</f>
        <v>189627235</v>
      </c>
    </row>
    <row r="35" customFormat="false" ht="15" hidden="false" customHeight="false" outlineLevel="0" collapsed="false">
      <c r="A35" s="22" t="n">
        <v>23</v>
      </c>
      <c r="B35" s="30" t="n">
        <v>500000000</v>
      </c>
      <c r="C35" s="12" t="s">
        <v>508</v>
      </c>
      <c r="D35" s="12" t="s">
        <v>497</v>
      </c>
      <c r="E35" s="30" t="n">
        <v>0</v>
      </c>
      <c r="F35" s="30" t="n">
        <v>1400000</v>
      </c>
      <c r="G35" s="30" t="n">
        <v>1900000</v>
      </c>
      <c r="H35" s="11" t="s">
        <v>207</v>
      </c>
      <c r="I35" s="23" t="n">
        <f aca="false">IF(B35="","",MAX(0,B35-$B$6))</f>
        <v>214627235</v>
      </c>
    </row>
    <row r="36" customFormat="false" ht="15" hidden="false" customHeight="false" outlineLevel="0" collapsed="false">
      <c r="A36" s="22" t="n">
        <v>24</v>
      </c>
      <c r="B36" s="30" t="n">
        <v>525000000</v>
      </c>
      <c r="C36" s="12" t="s">
        <v>509</v>
      </c>
      <c r="D36" s="12"/>
      <c r="E36" s="30" t="n">
        <v>1300000</v>
      </c>
      <c r="F36" s="30" t="n">
        <v>1400000</v>
      </c>
      <c r="G36" s="30" t="n">
        <v>1900000</v>
      </c>
      <c r="H36" s="11" t="s">
        <v>207</v>
      </c>
      <c r="I36" s="23" t="n">
        <f aca="false">IF(B36="","",MAX(0,B36-$B$6))</f>
        <v>239627235</v>
      </c>
    </row>
    <row r="37" customFormat="false" ht="15" hidden="false" customHeight="false" outlineLevel="0" collapsed="false">
      <c r="A37" s="22" t="n">
        <v>25</v>
      </c>
      <c r="B37" s="30" t="n">
        <v>550000000</v>
      </c>
      <c r="C37" s="12" t="s">
        <v>510</v>
      </c>
      <c r="D37" s="12" t="s">
        <v>497</v>
      </c>
      <c r="E37" s="30" t="n">
        <v>0</v>
      </c>
      <c r="F37" s="30" t="n">
        <v>1400000</v>
      </c>
      <c r="G37" s="30" t="n">
        <v>1900000</v>
      </c>
      <c r="H37" s="11" t="s">
        <v>207</v>
      </c>
      <c r="I37" s="23" t="n">
        <f aca="false">IF(B37="","",MAX(0,B37-$B$6))</f>
        <v>264627235</v>
      </c>
    </row>
    <row r="38" customFormat="false" ht="15" hidden="false" customHeight="false" outlineLevel="0" collapsed="false">
      <c r="A38" s="22" t="n">
        <v>26</v>
      </c>
      <c r="B38" s="30" t="n">
        <v>600000000</v>
      </c>
      <c r="C38" s="12" t="s">
        <v>511</v>
      </c>
      <c r="D38" s="12"/>
      <c r="E38" s="30" t="n">
        <v>1300000</v>
      </c>
      <c r="F38" s="30" t="n">
        <v>1400000</v>
      </c>
      <c r="G38" s="30" t="n">
        <v>2000000</v>
      </c>
      <c r="H38" s="11" t="s">
        <v>207</v>
      </c>
      <c r="I38" s="23" t="n">
        <f aca="false">IF(B38="","",MAX(0,B38-$B$6))</f>
        <v>314627235</v>
      </c>
    </row>
    <row r="39" customFormat="false" ht="15" hidden="false" customHeight="false" outlineLevel="0" collapsed="false">
      <c r="A39" s="22" t="n">
        <v>27</v>
      </c>
      <c r="B39" s="30" t="n">
        <v>650000000</v>
      </c>
      <c r="C39" s="12" t="s">
        <v>512</v>
      </c>
      <c r="D39" s="12" t="s">
        <v>497</v>
      </c>
      <c r="E39" s="30" t="n">
        <v>0</v>
      </c>
      <c r="F39" s="30" t="n">
        <v>1400000</v>
      </c>
      <c r="G39" s="30" t="n">
        <v>2000000</v>
      </c>
      <c r="H39" s="11" t="s">
        <v>207</v>
      </c>
      <c r="I39" s="23" t="n">
        <f aca="false">IF(B39="","",MAX(0,B39-$B$6))</f>
        <v>364627235</v>
      </c>
    </row>
    <row r="40" customFormat="false" ht="15" hidden="false" customHeight="false" outlineLevel="0" collapsed="false">
      <c r="A40" s="22" t="n">
        <v>28</v>
      </c>
      <c r="B40" s="30" t="n">
        <v>750000000</v>
      </c>
      <c r="C40" s="12" t="s">
        <v>513</v>
      </c>
      <c r="D40" s="12"/>
      <c r="E40" s="30" t="n">
        <v>1300000</v>
      </c>
      <c r="F40" s="30" t="n">
        <v>1400000</v>
      </c>
      <c r="G40" s="30" t="n">
        <v>2000000</v>
      </c>
      <c r="H40" s="11" t="s">
        <v>207</v>
      </c>
      <c r="I40" s="23" t="n">
        <f aca="false">IF(B40="","",MAX(0,B40-$B$6))</f>
        <v>464627235</v>
      </c>
    </row>
    <row r="41" customFormat="false" ht="15" hidden="false" customHeight="false" outlineLevel="0" collapsed="false">
      <c r="A41" s="22" t="n">
        <v>29</v>
      </c>
      <c r="B41" s="30" t="n">
        <v>900000000</v>
      </c>
      <c r="C41" s="12" t="s">
        <v>514</v>
      </c>
      <c r="D41" s="12" t="s">
        <v>497</v>
      </c>
      <c r="E41" s="30" t="n">
        <v>0</v>
      </c>
      <c r="F41" s="30" t="n">
        <v>1400000</v>
      </c>
      <c r="G41" s="30" t="n">
        <v>2000000</v>
      </c>
      <c r="H41" s="11" t="s">
        <v>207</v>
      </c>
      <c r="I41" s="23" t="n">
        <f aca="false">IF(B41="","",MAX(0,B41-$B$6))</f>
        <v>614627235</v>
      </c>
    </row>
    <row r="42" customFormat="false" ht="15" hidden="false" customHeight="false" outlineLevel="0" collapsed="false">
      <c r="A42" s="22" t="n">
        <v>30</v>
      </c>
      <c r="B42" s="30" t="n">
        <v>1100000000</v>
      </c>
      <c r="C42" s="12" t="s">
        <v>515</v>
      </c>
      <c r="D42" s="12"/>
      <c r="E42" s="30" t="n">
        <v>1400000</v>
      </c>
      <c r="F42" s="30" t="n">
        <v>1400000</v>
      </c>
      <c r="G42" s="30" t="n">
        <v>2000000</v>
      </c>
      <c r="H42" s="11" t="s">
        <v>207</v>
      </c>
      <c r="I42" s="23" t="n">
        <f aca="false">IF(B42="","",MAX(0,B42-$B$6))</f>
        <v>814627235</v>
      </c>
    </row>
    <row r="43" customFormat="false" ht="15" hidden="false" customHeight="false" outlineLevel="0" collapsed="false">
      <c r="A43" s="22" t="n">
        <v>31</v>
      </c>
      <c r="B43" s="30" t="n">
        <v>1300000000</v>
      </c>
      <c r="C43" s="12" t="s">
        <v>516</v>
      </c>
      <c r="D43" s="12" t="s">
        <v>497</v>
      </c>
      <c r="E43" s="30" t="n">
        <v>0</v>
      </c>
      <c r="F43" s="30" t="n">
        <v>1400000</v>
      </c>
      <c r="G43" s="30" t="n">
        <v>2000000</v>
      </c>
      <c r="H43" s="11" t="s">
        <v>207</v>
      </c>
      <c r="I43" s="23" t="n">
        <f aca="false">IF(B43="","",MAX(0,B43-$B$6))</f>
        <v>1014627235</v>
      </c>
    </row>
    <row r="44" customFormat="false" ht="15" hidden="false" customHeight="false" outlineLevel="0" collapsed="false">
      <c r="A44" s="22" t="n">
        <v>32</v>
      </c>
      <c r="B44" s="30" t="n">
        <v>1500000000</v>
      </c>
      <c r="C44" s="12" t="s">
        <v>517</v>
      </c>
      <c r="D44" s="12"/>
      <c r="E44" s="30" t="n">
        <v>1400000</v>
      </c>
      <c r="F44" s="30" t="n">
        <v>1400000</v>
      </c>
      <c r="G44" s="30" t="n">
        <v>2700000</v>
      </c>
      <c r="H44" s="11" t="s">
        <v>207</v>
      </c>
      <c r="I44" s="23" t="n">
        <f aca="false">IF(B44="","",MAX(0,B44-$B$6))</f>
        <v>1214627235</v>
      </c>
    </row>
    <row r="45" customFormat="false" ht="15" hidden="false" customHeight="false" outlineLevel="0" collapsed="false">
      <c r="A45" s="22" t="n">
        <v>33</v>
      </c>
      <c r="B45" s="30" t="n">
        <v>1700000000</v>
      </c>
      <c r="C45" s="12" t="s">
        <v>518</v>
      </c>
      <c r="D45" s="12"/>
      <c r="E45" s="30" t="n">
        <v>1400000</v>
      </c>
      <c r="F45" s="30" t="n">
        <v>1400000</v>
      </c>
      <c r="G45" s="30" t="n">
        <v>2700000</v>
      </c>
      <c r="H45" s="11" t="s">
        <v>207</v>
      </c>
      <c r="I45" s="23" t="n">
        <f aca="false">IF(B45="","",MAX(0,B45-$B$6))</f>
        <v>1414627235</v>
      </c>
    </row>
    <row r="46" customFormat="false" ht="15" hidden="false" customHeight="false" outlineLevel="0" collapsed="false">
      <c r="A46" s="22" t="n">
        <v>34</v>
      </c>
      <c r="B46" s="30" t="n">
        <v>1900000000</v>
      </c>
      <c r="C46" s="12" t="s">
        <v>516</v>
      </c>
      <c r="D46" s="12"/>
      <c r="E46" s="30" t="n">
        <v>1400000</v>
      </c>
      <c r="F46" s="30" t="n">
        <v>1400000</v>
      </c>
      <c r="G46" s="30" t="n">
        <v>2700000</v>
      </c>
      <c r="H46" s="11" t="s">
        <v>207</v>
      </c>
      <c r="I46" s="23" t="n">
        <f aca="false">IF(B46="","",MAX(0,B46-$B$6))</f>
        <v>1614627235</v>
      </c>
    </row>
    <row r="47" customFormat="false" ht="15" hidden="false" customHeight="false" outlineLevel="0" collapsed="false">
      <c r="A47" s="22" t="n">
        <v>35</v>
      </c>
      <c r="B47" s="30" t="n">
        <v>2100000000</v>
      </c>
      <c r="C47" s="12" t="s">
        <v>519</v>
      </c>
      <c r="D47" s="12"/>
      <c r="E47" s="30" t="n">
        <v>1400000</v>
      </c>
      <c r="F47" s="30" t="n">
        <v>1400000</v>
      </c>
      <c r="G47" s="30" t="n">
        <v>2700000</v>
      </c>
      <c r="H47" s="11" t="s">
        <v>207</v>
      </c>
      <c r="I47" s="23" t="n">
        <f aca="false">IF(B47="","",MAX(0,B47-$B$6))</f>
        <v>1814627235</v>
      </c>
    </row>
    <row r="48" customFormat="false" ht="15" hidden="false" customHeight="false" outlineLevel="0" collapsed="false">
      <c r="A48" s="22" t="n">
        <v>36</v>
      </c>
      <c r="B48" s="30" t="n">
        <v>2300000000</v>
      </c>
      <c r="C48" s="12" t="s">
        <v>520</v>
      </c>
      <c r="D48" s="12"/>
      <c r="E48" s="30" t="n">
        <v>1400000</v>
      </c>
      <c r="F48" s="30" t="n">
        <v>1400000</v>
      </c>
      <c r="G48" s="30" t="n">
        <v>2700000</v>
      </c>
      <c r="H48" s="11" t="s">
        <v>207</v>
      </c>
      <c r="I48" s="23" t="n">
        <f aca="false">IF(B48="","",MAX(0,B48-$B$6))</f>
        <v>2014627235</v>
      </c>
    </row>
    <row r="49" customFormat="false" ht="15" hidden="false" customHeight="false" outlineLevel="0" collapsed="false">
      <c r="A49" s="22" t="n">
        <v>37</v>
      </c>
      <c r="B49" s="30" t="n">
        <v>2500000000</v>
      </c>
      <c r="C49" s="12" t="s">
        <v>521</v>
      </c>
      <c r="D49" s="12"/>
      <c r="E49" s="30" t="n">
        <v>1400000</v>
      </c>
      <c r="F49" s="30" t="n">
        <v>1400000</v>
      </c>
      <c r="G49" s="30" t="n">
        <v>2700000</v>
      </c>
      <c r="H49" s="11" t="s">
        <v>207</v>
      </c>
      <c r="I49" s="23" t="n">
        <f aca="false">IF(B49="","",MAX(0,B49-$B$6))</f>
        <v>2214627235</v>
      </c>
    </row>
    <row r="50" customFormat="false" ht="15" hidden="false" customHeight="false" outlineLevel="0" collapsed="false">
      <c r="A50" s="22" t="n">
        <v>38</v>
      </c>
      <c r="B50" s="30" t="n">
        <v>2700000000</v>
      </c>
      <c r="C50" s="12" t="s">
        <v>522</v>
      </c>
      <c r="D50" s="12"/>
      <c r="E50" s="30" t="n">
        <v>1400000</v>
      </c>
      <c r="F50" s="30" t="n">
        <v>1400000</v>
      </c>
      <c r="G50" s="30" t="n">
        <v>2700000</v>
      </c>
      <c r="H50" s="11" t="s">
        <v>207</v>
      </c>
      <c r="I50" s="23" t="n">
        <f aca="false">IF(B50="","",MAX(0,B50-$B$6))</f>
        <v>2414627235</v>
      </c>
    </row>
    <row r="51" customFormat="false" ht="15" hidden="false" customHeight="false" outlineLevel="0" collapsed="false">
      <c r="A51" s="22" t="n">
        <v>39</v>
      </c>
      <c r="B51" s="30" t="n">
        <v>2900000000</v>
      </c>
      <c r="C51" s="12" t="s">
        <v>523</v>
      </c>
      <c r="D51" s="12"/>
      <c r="E51" s="30" t="n">
        <v>1400000</v>
      </c>
      <c r="F51" s="30" t="n">
        <v>1400000</v>
      </c>
      <c r="G51" s="30" t="n">
        <v>2700000</v>
      </c>
      <c r="H51" s="11" t="s">
        <v>207</v>
      </c>
      <c r="I51" s="23" t="n">
        <f aca="false">IF(B51="","",MAX(0,B51-$B$6))</f>
        <v>2614627235</v>
      </c>
    </row>
    <row r="52" customFormat="false" ht="15" hidden="false" customHeight="false" outlineLevel="0" collapsed="false">
      <c r="A52" s="22" t="n">
        <v>40</v>
      </c>
      <c r="B52" s="30" t="n">
        <v>3100000000</v>
      </c>
      <c r="C52" s="12" t="s">
        <v>524</v>
      </c>
      <c r="D52" s="12"/>
      <c r="E52" s="30" t="n">
        <v>1400000</v>
      </c>
      <c r="F52" s="30" t="n">
        <v>1400000</v>
      </c>
      <c r="G52" s="30" t="n">
        <v>2700000</v>
      </c>
      <c r="H52" s="11" t="s">
        <v>207</v>
      </c>
      <c r="I52" s="23" t="n">
        <f aca="false">IF(B52="","",MAX(0,B52-$B$6))</f>
        <v>2814627235</v>
      </c>
    </row>
    <row r="53" customFormat="false" ht="15" hidden="false" customHeight="false" outlineLevel="0" collapsed="false">
      <c r="A53" s="22" t="n">
        <v>41</v>
      </c>
      <c r="B53" s="30" t="n">
        <v>3300000000</v>
      </c>
      <c r="C53" s="12" t="s">
        <v>525</v>
      </c>
      <c r="D53" s="12"/>
      <c r="E53" s="30" t="n">
        <v>1400000</v>
      </c>
      <c r="F53" s="30" t="n">
        <v>1400000</v>
      </c>
      <c r="G53" s="30" t="n">
        <v>2700000</v>
      </c>
      <c r="H53" s="11" t="s">
        <v>207</v>
      </c>
      <c r="I53" s="23" t="n">
        <f aca="false">IF(B53="","",MAX(0,B53-$B$6))</f>
        <v>3014627235</v>
      </c>
    </row>
    <row r="54" customFormat="false" ht="15" hidden="false" customHeight="false" outlineLevel="0" collapsed="false">
      <c r="A54" s="22" t="n">
        <v>42</v>
      </c>
      <c r="B54" s="30" t="n">
        <v>3500000000</v>
      </c>
      <c r="C54" s="12" t="s">
        <v>526</v>
      </c>
      <c r="D54" s="12"/>
      <c r="E54" s="30" t="n">
        <v>1400000</v>
      </c>
      <c r="F54" s="30" t="n">
        <v>1400000</v>
      </c>
      <c r="G54" s="30" t="n">
        <v>2700000</v>
      </c>
      <c r="H54" s="11" t="s">
        <v>207</v>
      </c>
      <c r="I54" s="23" t="n">
        <f aca="false">IF(B54="","",MAX(0,B54-$B$6))</f>
        <v>3214627235</v>
      </c>
    </row>
    <row r="56" customFormat="false" ht="15" hidden="false" customHeight="false" outlineLevel="0" collapsed="false">
      <c r="A56" s="2" t="s">
        <v>527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2026-10-11T17:51:42Z</dcterms:created>
  <dc:creator>openpyxl</dc:creator>
  <dc:description/>
  <dc:language>en-US</dc:language>
  <cp:lastModifiedBy/>
  <dcterms:modified xsi:type="dcterms:W3CDTF">2026-10-11T17:51:43Z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