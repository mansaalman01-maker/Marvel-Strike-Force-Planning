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<sst xmlns="http://schemas.openxmlformats.org/spreadsheetml/2006/main" count="1077" uniqueCount="552">
  <si>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</si>
  <si>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</si>
  <si>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</si>
  <si>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</si>
  <si>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</si>
  <si>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</si>
  <si>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</si>
  <si>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</si>
  <si>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</si>
  <si>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</si>
  <si>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</si>
  <si>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</si>
  <si>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</si>
  <si>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</si>
  <si>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</si>
  <si>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</si>
  <si>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</si>
  <si>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</si>
  <si>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</si>
  <si>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</si>
  <si>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</si>
  <si>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</si>
  <si>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</si>
  <si>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</si>
  <si>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</si>
  <si>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</si>
  <si>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</si>
  <si>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</si>
  <si>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</si>
  <si>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</si>
  <si>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</si>
  <si>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</si>
  <si>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</si>
  <si>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</si>
  <si>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</si>
  <si>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</si>
  <si>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</si>
  <si>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</si>
  <si>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</si>
  <si>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</si>
  <si>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</si>
  <si>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</si>
  <si>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</si>
  <si>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</si>
  <si>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</si>
  <si>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</si>
  <si>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</si>
  <si>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</si>
  <si>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</si>
  <si>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</si>
  <si>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</si>
  <si>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</si>
  <si>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</si>
  <si>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</si>
  <si>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</si>
  <si>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</si>
  <si>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</si>
  <si>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</si>
  <si>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</si>
  <si>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</si>
  <si>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</si>
  <si>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</si>
  <si>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</si>
  <si>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</si>
  <si>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</si>
  <si>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</si>
  <si>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</si>
  <si>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</si>
  <si>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</si>
  <si>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</si>
  <si>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</si>
  <si>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</si>
  <si>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</si>
  <si>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</si>
  <si>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</si>
  <si>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</si>
  <si>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</si>
  <si>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</si>
  <si>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</si>
  <si>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</si>
  <si>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</si>
  <si>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</si>
  <si>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</si>
  <si>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</si>
  <si>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</si>
  <si>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</si>
  <si>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</si>
  <si>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</si>
  <si>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</si>
  <si>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</si>
  <si>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</si>
  <si>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</si>
  <si>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</si>
  <si>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</si>
  <si>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</si>
  <si>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</si>
  <si>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</si>
  <si>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</si>
  <si>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</si>
  <si>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</si>
  <si>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</si>
  <si>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</si>
  <si>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</si>
  <si>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</si>
  <si>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</si>
  <si>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</si>
  <si>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</si>
  <si>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</si>
  <si>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</si>
  <si>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</si>
  <si>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</si>
  <si>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</si>
  <si>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</si>
  <si>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</si>
  <si>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</si>
  <si>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</si>
  <si>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</si>
  <si>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</si>
  <si>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</si>
  <si>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</si>
  <si>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</si>
  <si>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</si>
  <si>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</si>
  <si>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</si>
  <si>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</si>
  <si>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</si>
  <si>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</si>
  <si>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</si>
  <si>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</si>
  <si>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</si>
  <si>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</si>
  <si>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</si>
  <si>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</si>
  <si>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</si>
  <si>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</si>
  <si>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</si>
  <si>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</si>
  <si>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</si>
  <si>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</si>
  <si>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</si>
  <si>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</si>
  <si>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</si>
  <si>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</si>
  <si>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</si>
  <si>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</si>
  <si>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</si>
  <si>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</si>
  <si>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</si>
  <si>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</si>
  <si>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</si>
  <si>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</si>
  <si>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</si>
  <si>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</si>
  <si>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</si>
  <si>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</si>
  <si>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</si>
  <si>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</si>
  <si>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</si>
  <si>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</si>
  <si>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</si>
  <si>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</si>
  <si>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</si>
  <si>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</si>
  <si>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</si>
  <si>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</si>
  <si>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</si>
  <si>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</si>
  <si>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</si>
  <si>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</si>
  <si>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</si>
  <si>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</si>
  <si>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</si>
  <si>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</si>
  <si>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</si>
  <si>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</si>
  <si>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</si>
  <si>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</si>
  <si>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</si>
  <si>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</si>
  <si>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</si>
  <si>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</si>
  <si>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</si>
  <si>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</si>
  <si>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</si>
  <si>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</si>
  <si>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</si>
  <si>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</si>
  <si>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</si>
  <si>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</si>
  <si>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</si>
  <si>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</si>
  <si>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</si>
  <si>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</si>
  <si>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</si>
  <si>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</si>
  <si>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</si>
  <si>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</si>
  <si>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</si>
  <si>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</si>
  <si>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</si>
  <si>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</si>
  <si>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</si>
  <si>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</si>
  <si>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</si>
  <si>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</si>
  <si>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</si>
  <si>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</si>
  <si>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</si>
  <si>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</si>
  <si>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</si>
  <si>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</si>
  <si>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</si>
  <si>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</si>
  <si>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</si>
  <si>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</si>
  <si>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</si>
  <si>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</si>
  <si>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</si>
  <si>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</si>
  <si>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</si>
  <si>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</si>
  <si>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</si>
  <si>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</si>
  <si>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</si>
  <si>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</si>
  <si>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</si>
  <si>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</si>
  <si>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</si>
  <si>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</si>
  <si>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</si>
  <si>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</si>
  <si>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</si>
  <si>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</si>
  <si>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</si>
  <si>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</si>
  <si>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</si>
  <si>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</si>
  <si>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</si>
  <si>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</si>
  <si>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</si>
  <si>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</si>
  <si>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</si>
  <si>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</si>
  <si>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</si>
  <si>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</si>
  <si>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</si>
  <si>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</si>
  <si>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</si>
  <si>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</si>
  <si>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</si>
  <si>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</si>
  <si>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</si>
  <si>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</si>
  <si>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</si>
  <si>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</si>
  <si>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</si>
  <si>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</si>
  <si>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</si>
  <si>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</si>
  <si>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</si>
  <si>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</si>
  <si>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</si>
  <si>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</si>
  <si>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</si>
  <si>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</si>
  <si>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</si>
  <si>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</si>
  <si>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</si>
  <si>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</si>
  <si>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</si>
  <si>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</si>
  <si>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</si>
  <si>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</si>
  <si>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</si>
  <si>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</si>
  <si>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</si>
  <si>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</si>
  <si>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</si>
  <si>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</si>
  <si>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</si>
  <si>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</si>
  <si>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</si>
  <si>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</si>
  <si>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</si>
  <si>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</si>
  <si>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</si>
  <si>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</si>
  <si>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</si>
  <si>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</si>
  <si>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</si>
  <si>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</si>
  <si>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</si>
  <si>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</si>
  <si>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</si>
  <si>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</si>
  <si>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</si>
  <si>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</si>
  <si>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</si>
  <si>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</si>
  <si>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</si>
  <si>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</si>
  <si>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</si>
  <si>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</si>
  <si>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</si>
  <si>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</si>
  <si>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</si>
  <si>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</si>
  <si>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</si>
  <si>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</si>
  <si>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</si>
  <si>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</si>
  <si>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</si>
  <si>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</si>
  <si>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</si>
  <si>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</si>
  <si>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</si>
  <si>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</si>
  <si>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</si>
  <si>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</si>
  <si>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</si>
  <si>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</si>
  <si>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</si>
  <si>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</si>
  <si>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</si>
  <si>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</si>
  <si>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</si>
  <si>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</si>
  <si>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</si>
  <si>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</si>
  <si>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</si>
  <si>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</si>
  <si>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</si>
  <si>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</si>
  <si>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</si>
  <si>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</si>
  <si>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</si>
  <si>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</si>
  <si>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</si>
  <si>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</si>
  <si>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</si>
  <si>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</si>
  <si>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</si>
  <si>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</si>
  <si>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</si>
  <si>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</si>
  <si>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</si>
  <si>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</si>
  <si>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</si>
  <si>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Claimed Oct 11, in current stock</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</si>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</sst>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533769203.857946</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18170000</v>
      </c>
      <c r="C5" s="26" t="n">
        <v>755800</v>
      </c>
      <c r="D5" s="26" t="n">
        <v>4370000</v>
      </c>
      <c r="E5" s="26" t="n">
        <v>14390000</v>
      </c>
      <c r="F5" s="26" t="n">
        <v>217</v>
      </c>
      <c r="G5" s="26" t="n">
        <v>715</v>
      </c>
      <c r="H5" s="26" t="n">
        <v>1004</v>
      </c>
    </row>
    <row r="6" customFormat="false" ht="15" hidden="false" customHeight="false" outlineLevel="0" collapsed="false">
      <c r="A6" s="16" t="s">
        <v>316</v>
      </c>
      <c r="B6" s="27" t="n">
        <f aca="false">SUMIFS(B13:B67,$I$13:$I$67,"Yes",$J$13:$J$67,"No")</f>
        <v>32500000</v>
      </c>
      <c r="C6" s="27" t="n">
        <f aca="false">SUMIFS(C13:C67,$I$13:$I$67,"Yes",$J$13:$J$67,"No")</f>
        <v>4250000</v>
      </c>
      <c r="D6" s="27" t="n">
        <f aca="false">SUMIFS(D13:D67,$I$13:$I$67,"Yes",$J$13:$J$67,"No")</f>
        <v>3136000</v>
      </c>
      <c r="E6" s="27" t="n">
        <f aca="false">SUMIFS(E13:E67,$I$13:$I$67,"Yes",$J$13:$J$67,"No")</f>
        <v>2736000</v>
      </c>
      <c r="F6" s="27" t="n">
        <f aca="false">SUMIFS(F13:F67,$I$13:$I$67,"Yes",$J$13:$J$67,"No")</f>
        <v>0</v>
      </c>
      <c r="G6" s="27" t="n">
        <f aca="false">SUMIFS(G13:G67,$I$13:$I$67,"Yes",$J$13:$J$67,"No")</f>
        <v>100</v>
      </c>
      <c r="H6" s="27" t="n">
        <f aca="false">SUMIFS(H13:H67,$I$13:$I$67,"Yes",$J$13:$J$67,"No")</f>
        <v>990</v>
      </c>
    </row>
    <row r="7" customFormat="false" ht="15" hidden="false" customHeight="false" outlineLevel="0" collapsed="false">
      <c r="A7" s="16" t="s">
        <v>317</v>
      </c>
      <c r="B7" s="27" t="n">
        <f aca="false">B5+B6</f>
        <v>50670000</v>
      </c>
      <c r="C7" s="27" t="n">
        <f aca="false">C5+C6</f>
        <v>5005800</v>
      </c>
      <c r="D7" s="27" t="n">
        <f aca="false">D5+D6</f>
        <v>7506000</v>
      </c>
      <c r="E7" s="27" t="n">
        <f aca="false">E5+E6</f>
        <v>17126000</v>
      </c>
      <c r="F7" s="27" t="n">
        <f aca="false">F5+F6</f>
        <v>217</v>
      </c>
      <c r="G7" s="27" t="n">
        <f aca="false">G5+G6</f>
        <v>815</v>
      </c>
      <c r="H7" s="27" t="n">
        <f aca="false">H5+H6</f>
        <v>1994</v>
      </c>
    </row>
    <row r="8" customFormat="false" ht="15" hidden="false" customHeight="false" outlineLevel="0" collapsed="false">
      <c r="A8" s="16" t="s">
        <v>318</v>
      </c>
      <c r="B8" s="27" t="n">
        <f aca="false">SUMIF($J$71:$J$91,"Planned",B71:B91)</f>
        <v>9791250</v>
      </c>
      <c r="C8" s="27" t="n">
        <f aca="false">SUMIF($J$71:$J$91,"Planned",C71:C91)</f>
        <v>2070000</v>
      </c>
      <c r="D8" s="27" t="n">
        <f aca="false">SUMIF($J$71:$J$91,"Planned",D71:D91)</f>
        <v>2640000</v>
      </c>
      <c r="E8" s="27" t="n">
        <f aca="false">SUMIF($J$71:$J$91,"Planned",E71:E91)</f>
        <v>1710000</v>
      </c>
      <c r="F8" s="27" t="n">
        <f aca="false">SUMIF($J$71:$J$91,"Planned",F71:F91)</f>
        <v>1</v>
      </c>
      <c r="G8" s="27" t="n">
        <f aca="false">SUMIF($J$71:$J$91,"Planned",G71:G91)</f>
        <v>0</v>
      </c>
      <c r="H8" s="27" t="n">
        <f aca="false">SUMIF($J$71:$J$91,"Planned",H71:H91)</f>
        <v>979</v>
      </c>
    </row>
    <row r="9" customFormat="false" ht="15" hidden="false" customHeight="false" outlineLevel="0" collapsed="false">
      <c r="A9" s="16" t="s">
        <v>319</v>
      </c>
      <c r="B9" s="28" t="n">
        <f aca="false">B7-B8</f>
        <v>40878750</v>
      </c>
      <c r="C9" s="28" t="n">
        <f aca="false">C7-C8</f>
        <v>2935800</v>
      </c>
      <c r="D9" s="28" t="n">
        <f aca="false">D7-D8</f>
        <v>4866000</v>
      </c>
      <c r="E9" s="28" t="n">
        <f aca="false">E7-E8</f>
        <v>15416000</v>
      </c>
      <c r="F9" s="28" t="n">
        <f aca="false">F7-F8</f>
        <v>216</v>
      </c>
      <c r="G9" s="28" t="n">
        <f aca="false">G7-G8</f>
        <v>815</v>
      </c>
      <c r="H9" s="28" t="n">
        <f aca="false">H7-H8</f>
        <v>1015</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346</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347</v>
      </c>
      <c r="B32" s="30" t="n">
        <v>0</v>
      </c>
      <c r="C32" s="30" t="n">
        <v>0</v>
      </c>
      <c r="D32" s="30" t="n">
        <v>0</v>
      </c>
      <c r="E32" s="30" t="n">
        <v>0</v>
      </c>
      <c r="F32" s="30" t="n">
        <v>0</v>
      </c>
      <c r="G32" s="30" t="n">
        <v>0</v>
      </c>
      <c r="H32" s="30" t="n">
        <v>0</v>
      </c>
      <c r="I32" s="11" t="s">
        <v>249</v>
      </c>
      <c r="J32" s="11" t="s">
        <v>253</v>
      </c>
      <c r="K32" s="15" t="s">
        <v>348</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900000</v>
      </c>
      <c r="D37" s="30" t="n">
        <v>1300000</v>
      </c>
      <c r="E37" s="30" t="n">
        <v>1900000</v>
      </c>
      <c r="F37" s="30" t="n">
        <v>0</v>
      </c>
      <c r="G37" s="30" t="n">
        <v>0</v>
      </c>
      <c r="H37" s="30" t="n">
        <v>0</v>
      </c>
      <c r="I37" s="11" t="s">
        <v>253</v>
      </c>
      <c r="J37" s="11" t="s">
        <v>253</v>
      </c>
      <c r="K37" s="15" t="s">
        <v>355</v>
      </c>
    </row>
    <row r="38" customFormat="false" ht="15" hidden="false" customHeight="false" outlineLevel="0" collapsed="false">
      <c r="A38" s="12" t="s">
        <v>356</v>
      </c>
      <c r="B38" s="30" t="n">
        <v>0</v>
      </c>
      <c r="C38" s="30" t="n">
        <v>950000</v>
      </c>
      <c r="D38" s="30" t="n">
        <v>0</v>
      </c>
      <c r="E38" s="30" t="n">
        <v>1900000</v>
      </c>
      <c r="F38" s="30" t="n">
        <v>0</v>
      </c>
      <c r="G38" s="30" t="n">
        <v>0</v>
      </c>
      <c r="H38" s="30" t="n">
        <v>0</v>
      </c>
      <c r="I38" s="11" t="s">
        <v>253</v>
      </c>
      <c r="J38" s="11" t="s">
        <v>253</v>
      </c>
      <c r="K38" s="15"/>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c r="G45" s="30"/>
      <c r="H45" s="30"/>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0</v>
      </c>
      <c r="C57" s="30" t="n">
        <v>0</v>
      </c>
      <c r="D57" s="30" t="n">
        <v>0</v>
      </c>
      <c r="E57" s="30" t="n">
        <v>0</v>
      </c>
      <c r="F57" s="30" t="n">
        <v>0</v>
      </c>
      <c r="G57" s="30" t="n">
        <v>0</v>
      </c>
      <c r="H57" s="30" t="n">
        <v>0</v>
      </c>
      <c r="I57" s="11" t="s">
        <v>253</v>
      </c>
      <c r="J57" s="11" t="s">
        <v>253</v>
      </c>
      <c r="K57" s="15" t="s">
        <v>386</v>
      </c>
    </row>
    <row r="58" customFormat="false" ht="15" hidden="false" customHeight="false" outlineLevel="0" collapsed="false">
      <c r="A58" s="12"/>
      <c r="B58" s="30"/>
      <c r="C58" s="30"/>
      <c r="D58" s="30"/>
      <c r="E58" s="30"/>
      <c r="F58" s="30"/>
      <c r="G58" s="30"/>
      <c r="H58" s="30"/>
      <c r="I58" s="11"/>
      <c r="J58" s="11"/>
      <c r="K58" s="12"/>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9" customFormat="false" ht="15" hidden="false" customHeight="false" outlineLevel="0" collapsed="false">
      <c r="A69" s="29" t="s">
        <v>387</v>
      </c>
    </row>
    <row r="70" customFormat="false" ht="26.85" hidden="false" customHeight="false" outlineLevel="0" collapsed="false">
      <c r="A70" s="3" t="s">
        <v>388</v>
      </c>
      <c r="B70" s="3" t="s">
        <v>308</v>
      </c>
      <c r="C70" s="3" t="s">
        <v>309</v>
      </c>
      <c r="D70" s="3" t="s">
        <v>310</v>
      </c>
      <c r="E70" s="3" t="s">
        <v>311</v>
      </c>
      <c r="F70" s="3" t="s">
        <v>312</v>
      </c>
      <c r="G70" s="3" t="s">
        <v>313</v>
      </c>
      <c r="H70" s="3" t="s">
        <v>314</v>
      </c>
      <c r="I70" s="3" t="s">
        <v>10</v>
      </c>
      <c r="J70" s="3" t="s">
        <v>12</v>
      </c>
      <c r="K70" s="3" t="s">
        <v>13</v>
      </c>
    </row>
    <row r="71" customFormat="false" ht="15" hidden="false" customHeight="false" outlineLevel="0" collapsed="false">
      <c r="A71" s="12" t="s">
        <v>389</v>
      </c>
      <c r="B71" s="30" t="n">
        <v>1837500</v>
      </c>
      <c r="C71" s="30" t="n">
        <v>0</v>
      </c>
      <c r="D71" s="30" t="n">
        <v>0</v>
      </c>
      <c r="E71" s="30" t="n">
        <v>0</v>
      </c>
      <c r="F71" s="30" t="n">
        <v>2</v>
      </c>
      <c r="G71" s="30" t="n">
        <v>1</v>
      </c>
      <c r="H71" s="30" t="n">
        <v>183</v>
      </c>
      <c r="I71" s="30" t="n">
        <v>0</v>
      </c>
      <c r="J71" s="11" t="s">
        <v>390</v>
      </c>
      <c r="K71" s="15" t="s">
        <v>391</v>
      </c>
    </row>
    <row r="72" customFormat="false" ht="15" hidden="false" customHeight="false" outlineLevel="0" collapsed="false">
      <c r="A72" s="12" t="s">
        <v>392</v>
      </c>
      <c r="B72" s="30" t="n">
        <v>0</v>
      </c>
      <c r="C72" s="30" t="n">
        <v>359800</v>
      </c>
      <c r="D72" s="30" t="n">
        <v>0</v>
      </c>
      <c r="E72" s="30" t="n">
        <v>0</v>
      </c>
      <c r="F72" s="30" t="n">
        <v>0</v>
      </c>
      <c r="G72" s="30" t="n">
        <v>0</v>
      </c>
      <c r="H72" s="30" t="n">
        <v>0</v>
      </c>
      <c r="I72" s="30" t="n">
        <v>0</v>
      </c>
      <c r="J72" s="11" t="s">
        <v>390</v>
      </c>
      <c r="K72" s="15"/>
    </row>
    <row r="73" customFormat="false" ht="15" hidden="false" customHeight="false" outlineLevel="0" collapsed="false">
      <c r="A73" s="12" t="s">
        <v>393</v>
      </c>
      <c r="B73" s="30" t="n">
        <v>9791250</v>
      </c>
      <c r="C73" s="30" t="n">
        <v>0</v>
      </c>
      <c r="D73" s="30" t="n">
        <v>0</v>
      </c>
      <c r="E73" s="30" t="n">
        <v>0</v>
      </c>
      <c r="F73" s="30" t="n">
        <v>1</v>
      </c>
      <c r="G73" s="30" t="n">
        <v>0</v>
      </c>
      <c r="H73" s="30" t="n">
        <v>979</v>
      </c>
      <c r="I73" s="30" t="n">
        <v>55000000</v>
      </c>
      <c r="J73" s="11" t="s">
        <v>394</v>
      </c>
      <c r="K73" s="15" t="s">
        <v>395</v>
      </c>
    </row>
    <row r="74" customFormat="false" ht="15" hidden="false" customHeight="false" outlineLevel="0" collapsed="false">
      <c r="A74" s="12" t="s">
        <v>396</v>
      </c>
      <c r="B74" s="30" t="n">
        <v>0</v>
      </c>
      <c r="C74" s="30" t="n">
        <v>360000</v>
      </c>
      <c r="D74" s="30" t="n">
        <v>0</v>
      </c>
      <c r="E74" s="30" t="n">
        <v>0</v>
      </c>
      <c r="F74" s="30" t="n">
        <v>0</v>
      </c>
      <c r="G74" s="30" t="n">
        <v>0</v>
      </c>
      <c r="H74" s="30" t="n">
        <v>0</v>
      </c>
      <c r="I74" s="30" t="n">
        <v>0</v>
      </c>
      <c r="J74" s="11" t="s">
        <v>394</v>
      </c>
      <c r="K74" s="15" t="s">
        <v>397</v>
      </c>
    </row>
    <row r="75" customFormat="false" ht="15" hidden="false" customHeight="false" outlineLevel="0" collapsed="false">
      <c r="A75" s="12" t="s">
        <v>398</v>
      </c>
      <c r="B75" s="26"/>
      <c r="C75" s="30" t="n">
        <v>0</v>
      </c>
      <c r="D75" s="30" t="n">
        <v>0</v>
      </c>
      <c r="E75" s="30" t="n">
        <v>0</v>
      </c>
      <c r="F75" s="26"/>
      <c r="G75" s="26"/>
      <c r="H75" s="26"/>
      <c r="I75" s="30" t="n">
        <v>3000000</v>
      </c>
      <c r="J75" s="11" t="s">
        <v>394</v>
      </c>
      <c r="K75" s="15" t="s">
        <v>399</v>
      </c>
    </row>
    <row r="76" customFormat="false" ht="15" hidden="false" customHeight="false" outlineLevel="0" collapsed="false">
      <c r="A76" s="12" t="s">
        <v>400</v>
      </c>
      <c r="B76" s="26"/>
      <c r="C76" s="30" t="n">
        <v>0</v>
      </c>
      <c r="D76" s="30" t="n">
        <v>0</v>
      </c>
      <c r="E76" s="30" t="n">
        <v>0</v>
      </c>
      <c r="F76" s="26"/>
      <c r="G76" s="26"/>
      <c r="H76" s="26"/>
      <c r="I76" s="30" t="n">
        <v>3000000</v>
      </c>
      <c r="J76" s="11" t="s">
        <v>394</v>
      </c>
      <c r="K76" s="15" t="s">
        <v>399</v>
      </c>
    </row>
    <row r="77" customFormat="false" ht="15" hidden="false" customHeight="false" outlineLevel="0" collapsed="false">
      <c r="A77" s="12" t="s">
        <v>401</v>
      </c>
      <c r="B77" s="26"/>
      <c r="C77" s="30" t="n">
        <v>0</v>
      </c>
      <c r="D77" s="30" t="n">
        <v>0</v>
      </c>
      <c r="E77" s="30" t="n">
        <v>0</v>
      </c>
      <c r="F77" s="26"/>
      <c r="G77" s="26"/>
      <c r="H77" s="26"/>
      <c r="I77" s="30" t="n">
        <v>3000000</v>
      </c>
      <c r="J77" s="11" t="s">
        <v>394</v>
      </c>
      <c r="K77" s="15" t="s">
        <v>399</v>
      </c>
    </row>
    <row r="78" customFormat="false" ht="15" hidden="false" customHeight="false" outlineLevel="0" collapsed="false">
      <c r="A78" s="12" t="s">
        <v>402</v>
      </c>
      <c r="B78" s="26"/>
      <c r="C78" s="30" t="n">
        <v>0</v>
      </c>
      <c r="D78" s="30" t="n">
        <v>0</v>
      </c>
      <c r="E78" s="30" t="n">
        <v>0</v>
      </c>
      <c r="F78" s="26"/>
      <c r="G78" s="26"/>
      <c r="H78" s="26"/>
      <c r="I78" s="30" t="n">
        <v>3000000</v>
      </c>
      <c r="J78" s="11" t="s">
        <v>394</v>
      </c>
      <c r="K78" s="15" t="s">
        <v>399</v>
      </c>
    </row>
    <row r="79" customFormat="false" ht="15" hidden="false" customHeight="false" outlineLevel="0" collapsed="false">
      <c r="A79" s="12" t="s">
        <v>403</v>
      </c>
      <c r="B79" s="26"/>
      <c r="C79" s="30" t="n">
        <v>0</v>
      </c>
      <c r="D79" s="30" t="n">
        <v>0</v>
      </c>
      <c r="E79" s="30" t="n">
        <v>0</v>
      </c>
      <c r="F79" s="30" t="n">
        <v>0</v>
      </c>
      <c r="G79" s="30" t="n">
        <v>0</v>
      </c>
      <c r="H79" s="30" t="n">
        <v>0</v>
      </c>
      <c r="I79" s="30" t="n">
        <v>17000000</v>
      </c>
      <c r="J79" s="11" t="s">
        <v>394</v>
      </c>
      <c r="K79" s="15" t="s">
        <v>399</v>
      </c>
    </row>
    <row r="80" customFormat="false" ht="15" hidden="false" customHeight="false" outlineLevel="0" collapsed="false">
      <c r="A80" s="12" t="s">
        <v>404</v>
      </c>
      <c r="B80" s="30" t="n">
        <v>0</v>
      </c>
      <c r="C80" s="30" t="n">
        <v>1710000</v>
      </c>
      <c r="D80" s="30" t="n">
        <v>2640000</v>
      </c>
      <c r="E80" s="30" t="n">
        <v>1710000</v>
      </c>
      <c r="F80" s="30" t="n">
        <v>0</v>
      </c>
      <c r="G80" s="30" t="n">
        <v>0</v>
      </c>
      <c r="H80" s="30" t="n">
        <v>0</v>
      </c>
      <c r="I80" s="30" t="n">
        <v>17000000</v>
      </c>
      <c r="J80" s="11" t="s">
        <v>394</v>
      </c>
      <c r="K80" s="15" t="s">
        <v>405</v>
      </c>
    </row>
    <row r="81" customFormat="false" ht="15" hidden="false" customHeight="false" outlineLevel="0" collapsed="false">
      <c r="A81" s="12" t="s">
        <v>406</v>
      </c>
      <c r="B81" s="30" t="n">
        <v>0</v>
      </c>
      <c r="C81" s="26"/>
      <c r="D81" s="26"/>
      <c r="E81" s="26"/>
      <c r="F81" s="30" t="n">
        <v>0</v>
      </c>
      <c r="G81" s="30" t="n">
        <v>0</v>
      </c>
      <c r="H81" s="30" t="n">
        <v>0</v>
      </c>
      <c r="I81" s="30" t="n">
        <v>17000000</v>
      </c>
      <c r="J81" s="11" t="s">
        <v>394</v>
      </c>
      <c r="K81" s="15" t="s">
        <v>399</v>
      </c>
    </row>
    <row r="82" customFormat="false" ht="15" hidden="false" customHeight="false" outlineLevel="0" collapsed="false">
      <c r="A82" s="12" t="s">
        <v>407</v>
      </c>
      <c r="B82" s="30" t="n">
        <v>0</v>
      </c>
      <c r="C82" s="26"/>
      <c r="D82" s="26"/>
      <c r="E82" s="26"/>
      <c r="F82" s="30" t="n">
        <v>0</v>
      </c>
      <c r="G82" s="30" t="n">
        <v>0</v>
      </c>
      <c r="H82" s="30" t="n">
        <v>0</v>
      </c>
      <c r="I82" s="30" t="n">
        <v>17000000</v>
      </c>
      <c r="J82" s="11" t="s">
        <v>408</v>
      </c>
      <c r="K82" s="15" t="s">
        <v>399</v>
      </c>
    </row>
    <row r="83" customFormat="false" ht="15" hidden="false" customHeight="false" outlineLevel="0" collapsed="false">
      <c r="A83" s="12" t="s">
        <v>409</v>
      </c>
      <c r="B83" s="30" t="n">
        <v>0</v>
      </c>
      <c r="C83" s="26"/>
      <c r="D83" s="26"/>
      <c r="E83" s="26"/>
      <c r="F83" s="30" t="n">
        <v>0</v>
      </c>
      <c r="G83" s="30" t="n">
        <v>0</v>
      </c>
      <c r="H83" s="30" t="n">
        <v>0</v>
      </c>
      <c r="I83" s="30" t="n">
        <v>17000000</v>
      </c>
      <c r="J83" s="11" t="s">
        <v>408</v>
      </c>
      <c r="K83" s="15" t="s">
        <v>399</v>
      </c>
    </row>
    <row r="84" customFormat="false" ht="15" hidden="false" customHeight="false" outlineLevel="0" collapsed="false">
      <c r="A84" s="12" t="s">
        <v>410</v>
      </c>
      <c r="B84" s="30" t="n">
        <v>0</v>
      </c>
      <c r="C84" s="26"/>
      <c r="D84" s="26"/>
      <c r="E84" s="26"/>
      <c r="F84" s="30" t="n">
        <v>0</v>
      </c>
      <c r="G84" s="30" t="n">
        <v>0</v>
      </c>
      <c r="H84" s="30" t="n">
        <v>0</v>
      </c>
      <c r="I84" s="30" t="n">
        <v>17000000</v>
      </c>
      <c r="J84" s="11" t="s">
        <v>408</v>
      </c>
      <c r="K84" s="15" t="s">
        <v>399</v>
      </c>
    </row>
    <row r="85" customFormat="false" ht="15" hidden="false" customHeight="false" outlineLevel="0" collapsed="false">
      <c r="A85" s="12" t="s">
        <v>411</v>
      </c>
      <c r="B85" s="30" t="n">
        <v>13000000</v>
      </c>
      <c r="C85" s="30" t="n">
        <v>0</v>
      </c>
      <c r="D85" s="30" t="n">
        <v>0</v>
      </c>
      <c r="E85" s="30" t="n">
        <v>0</v>
      </c>
      <c r="F85" s="26"/>
      <c r="G85" s="26"/>
      <c r="H85" s="26"/>
      <c r="I85" s="30" t="n">
        <v>8000000</v>
      </c>
      <c r="J85" s="11" t="s">
        <v>408</v>
      </c>
      <c r="K85" s="15" t="s">
        <v>412</v>
      </c>
    </row>
    <row r="86" customFormat="false" ht="15" hidden="false" customHeight="false" outlineLevel="0" collapsed="false">
      <c r="A86" s="12"/>
      <c r="B86" s="30"/>
      <c r="C86" s="30"/>
      <c r="D86" s="30"/>
      <c r="E86" s="30"/>
      <c r="F86" s="30"/>
      <c r="G86" s="30"/>
      <c r="H86" s="30"/>
      <c r="I86" s="30"/>
      <c r="J86" s="11"/>
      <c r="K86" s="12"/>
    </row>
    <row r="87" customFormat="false" ht="15" hidden="false" customHeight="false" outlineLevel="0" collapsed="false">
      <c r="A87" s="12"/>
      <c r="B87" s="30"/>
      <c r="C87" s="30"/>
      <c r="D87" s="30"/>
      <c r="E87" s="30"/>
      <c r="F87" s="30"/>
      <c r="G87" s="30"/>
      <c r="H87" s="30"/>
      <c r="I87" s="30"/>
      <c r="J87" s="11"/>
      <c r="K87" s="12"/>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3" customFormat="false" ht="15" hidden="false" customHeight="false" outlineLevel="0" collapsed="false">
      <c r="A93" s="16" t="s">
        <v>413</v>
      </c>
      <c r="I93" s="20" t="n">
        <f aca="false">SUMIF(J71:J91,"Planned",I71:I91)</f>
        <v>118000000</v>
      </c>
    </row>
  </sheetData>
  <conditionalFormatting sqref="B9:H9">
    <cfRule type="cellIs" priority="2" operator="lessThan" aboveAverage="0" equalAverage="0" bottom="0" percent="0" rank="0" text="" dxfId="12">
      <formula>0</formula>
    </cfRule>
  </conditionalFormatting>
  <conditionalFormatting sqref="J71:J91">
    <cfRule type="cellIs" priority="3" operator="equal" aboveAverage="0" equalAverage="0" bottom="0" percent="0" rank="0" text="" dxfId="8">
      <formula>"Done"</formula>
    </cfRule>
  </conditionalFormatting>
  <conditionalFormatting sqref="J13:J67">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7" type="list">
      <formula1>"Yes,No"</formula1>
      <formula2>0</formula2>
    </dataValidation>
    <dataValidation allowBlank="true" errorStyle="stop" operator="between" showDropDown="false" showErrorMessage="false" showInputMessage="false" sqref="J71:J91"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414</v>
      </c>
    </row>
    <row r="2" customFormat="false" ht="15" hidden="false" customHeight="false" outlineLevel="0" collapsed="false">
      <c r="A2" s="2" t="s">
        <v>415</v>
      </c>
    </row>
    <row r="4" customFormat="false" ht="26.85" hidden="false" customHeight="false" outlineLevel="0" collapsed="false">
      <c r="A4" s="3" t="s">
        <v>238</v>
      </c>
      <c r="B4" s="3" t="s">
        <v>237</v>
      </c>
      <c r="C4" s="3" t="s">
        <v>308</v>
      </c>
      <c r="D4" s="3" t="s">
        <v>416</v>
      </c>
      <c r="E4" s="3" t="s">
        <v>417</v>
      </c>
      <c r="F4" s="3" t="s">
        <v>418</v>
      </c>
      <c r="G4" s="3" t="s">
        <v>419</v>
      </c>
      <c r="H4" s="3" t="s">
        <v>420</v>
      </c>
      <c r="I4" s="3" t="s">
        <v>421</v>
      </c>
      <c r="J4" s="3" t="s">
        <v>422</v>
      </c>
      <c r="K4" s="3" t="s">
        <v>423</v>
      </c>
      <c r="L4" s="3" t="s">
        <v>424</v>
      </c>
    </row>
    <row r="5" customFormat="false" ht="15" hidden="false" customHeight="false" outlineLevel="0" collapsed="false">
      <c r="A5" s="31" t="s">
        <v>425</v>
      </c>
    </row>
    <row r="6" customFormat="false" ht="15" hidden="false" customHeight="false" outlineLevel="0" collapsed="false">
      <c r="A6" s="13" t="s">
        <v>426</v>
      </c>
      <c r="B6" s="13" t="s">
        <v>427</v>
      </c>
      <c r="C6" s="23" t="n">
        <v>25000</v>
      </c>
      <c r="D6" s="15" t="s">
        <v>428</v>
      </c>
      <c r="E6" s="32" t="s">
        <v>390</v>
      </c>
      <c r="F6" s="32"/>
      <c r="G6" s="32"/>
      <c r="H6" s="32"/>
      <c r="I6" s="32"/>
      <c r="J6" s="32"/>
      <c r="K6" s="32"/>
      <c r="L6" s="32"/>
    </row>
    <row r="7" customFormat="false" ht="15" hidden="false" customHeight="false" outlineLevel="0" collapsed="false">
      <c r="A7" s="13" t="s">
        <v>429</v>
      </c>
      <c r="B7" s="13" t="s">
        <v>427</v>
      </c>
      <c r="C7" s="23" t="n">
        <v>25000</v>
      </c>
      <c r="D7" s="15" t="s">
        <v>430</v>
      </c>
      <c r="E7" s="32" t="s">
        <v>390</v>
      </c>
      <c r="F7" s="32"/>
      <c r="G7" s="32"/>
      <c r="H7" s="32"/>
      <c r="I7" s="32"/>
      <c r="J7" s="32"/>
      <c r="K7" s="32"/>
      <c r="L7" s="32"/>
    </row>
    <row r="8" customFormat="false" ht="15" hidden="false" customHeight="false" outlineLevel="0" collapsed="false">
      <c r="A8" s="13" t="s">
        <v>431</v>
      </c>
      <c r="B8" s="13" t="s">
        <v>427</v>
      </c>
      <c r="C8" s="23" t="n">
        <v>50000</v>
      </c>
      <c r="D8" s="15" t="s">
        <v>432</v>
      </c>
      <c r="E8" s="32" t="s">
        <v>390</v>
      </c>
      <c r="F8" s="32"/>
      <c r="G8" s="32"/>
      <c r="H8" s="32"/>
      <c r="I8" s="32"/>
      <c r="J8" s="32"/>
      <c r="K8" s="32"/>
      <c r="L8" s="32"/>
    </row>
    <row r="9" customFormat="false" ht="15" hidden="false" customHeight="false" outlineLevel="0" collapsed="false">
      <c r="A9" s="13" t="s">
        <v>433</v>
      </c>
      <c r="B9" s="13" t="s">
        <v>427</v>
      </c>
      <c r="C9" s="23" t="n">
        <v>50000</v>
      </c>
      <c r="D9" s="15" t="s">
        <v>434</v>
      </c>
      <c r="E9" s="32" t="s">
        <v>390</v>
      </c>
      <c r="F9" s="32"/>
      <c r="G9" s="32"/>
      <c r="H9" s="32"/>
      <c r="I9" s="32"/>
      <c r="J9" s="32"/>
      <c r="K9" s="32"/>
      <c r="L9" s="32"/>
    </row>
    <row r="10" customFormat="false" ht="15" hidden="false" customHeight="false" outlineLevel="0" collapsed="false">
      <c r="A10" s="13" t="s">
        <v>435</v>
      </c>
      <c r="B10" s="13" t="s">
        <v>427</v>
      </c>
      <c r="C10" s="23" t="n">
        <v>50000</v>
      </c>
      <c r="D10" s="15" t="s">
        <v>432</v>
      </c>
      <c r="E10" s="32" t="s">
        <v>390</v>
      </c>
      <c r="F10" s="32"/>
      <c r="G10" s="32"/>
      <c r="H10" s="32"/>
      <c r="I10" s="32"/>
      <c r="J10" s="32"/>
      <c r="K10" s="32"/>
      <c r="L10" s="32"/>
    </row>
    <row r="11" customFormat="false" ht="15" hidden="false" customHeight="false" outlineLevel="0" collapsed="false">
      <c r="A11" s="13" t="s">
        <v>436</v>
      </c>
      <c r="B11" s="13" t="s">
        <v>427</v>
      </c>
      <c r="C11" s="23" t="n">
        <v>25000</v>
      </c>
      <c r="D11" s="15" t="s">
        <v>432</v>
      </c>
      <c r="E11" s="32" t="s">
        <v>390</v>
      </c>
      <c r="F11" s="32"/>
      <c r="G11" s="32"/>
      <c r="H11" s="32"/>
      <c r="I11" s="32"/>
      <c r="J11" s="32"/>
      <c r="K11" s="32"/>
      <c r="L11" s="32"/>
    </row>
    <row r="12" customFormat="false" ht="15" hidden="false" customHeight="false" outlineLevel="0" collapsed="false">
      <c r="A12" s="13" t="s">
        <v>437</v>
      </c>
      <c r="B12" s="13" t="s">
        <v>427</v>
      </c>
      <c r="C12" s="23" t="n">
        <v>25000</v>
      </c>
      <c r="D12" s="15" t="s">
        <v>438</v>
      </c>
      <c r="E12" s="32" t="s">
        <v>390</v>
      </c>
      <c r="F12" s="32"/>
      <c r="G12" s="32"/>
      <c r="H12" s="32"/>
      <c r="I12" s="32"/>
      <c r="J12" s="32"/>
      <c r="K12" s="32"/>
      <c r="L12" s="32"/>
    </row>
    <row r="13" customFormat="false" ht="15" hidden="false" customHeight="false" outlineLevel="0" collapsed="false">
      <c r="A13" s="13" t="s">
        <v>439</v>
      </c>
      <c r="B13" s="13" t="s">
        <v>427</v>
      </c>
      <c r="C13" s="23" t="n">
        <v>25000</v>
      </c>
      <c r="D13" s="15" t="s">
        <v>432</v>
      </c>
      <c r="E13" s="32" t="s">
        <v>390</v>
      </c>
      <c r="F13" s="32"/>
      <c r="G13" s="32"/>
      <c r="H13" s="32"/>
      <c r="I13" s="32"/>
      <c r="J13" s="32"/>
      <c r="K13" s="32"/>
      <c r="L13" s="32"/>
    </row>
    <row r="14" customFormat="false" ht="15" hidden="false" customHeight="false" outlineLevel="0" collapsed="false">
      <c r="A14" s="13" t="s">
        <v>440</v>
      </c>
      <c r="B14" s="13" t="s">
        <v>427</v>
      </c>
      <c r="C14" s="23" t="n">
        <v>50000</v>
      </c>
      <c r="D14" s="15" t="s">
        <v>441</v>
      </c>
      <c r="E14" s="32" t="s">
        <v>390</v>
      </c>
      <c r="F14" s="32"/>
      <c r="G14" s="32"/>
      <c r="H14" s="32"/>
      <c r="I14" s="32"/>
      <c r="J14" s="32"/>
      <c r="K14" s="32"/>
      <c r="L14" s="32"/>
    </row>
    <row r="15" customFormat="false" ht="15" hidden="false" customHeight="false" outlineLevel="0" collapsed="false">
      <c r="A15" s="13" t="s">
        <v>442</v>
      </c>
      <c r="B15" s="13" t="s">
        <v>427</v>
      </c>
      <c r="C15" s="23" t="n">
        <v>50000</v>
      </c>
      <c r="D15" s="15" t="s">
        <v>432</v>
      </c>
      <c r="E15" s="32" t="s">
        <v>390</v>
      </c>
      <c r="F15" s="32"/>
      <c r="G15" s="32"/>
      <c r="H15" s="32"/>
      <c r="I15" s="32"/>
      <c r="J15" s="32"/>
      <c r="K15" s="32"/>
      <c r="L15" s="32"/>
    </row>
    <row r="16" customFormat="false" ht="15" hidden="false" customHeight="false" outlineLevel="0" collapsed="false">
      <c r="A16" s="13" t="s">
        <v>443</v>
      </c>
      <c r="B16" s="13" t="s">
        <v>427</v>
      </c>
      <c r="C16" s="23" t="n">
        <v>1000000</v>
      </c>
      <c r="D16" s="15" t="s">
        <v>444</v>
      </c>
      <c r="E16" s="32" t="s">
        <v>390</v>
      </c>
      <c r="F16" s="32"/>
      <c r="G16" s="32"/>
      <c r="H16" s="32"/>
      <c r="I16" s="32"/>
      <c r="J16" s="32"/>
      <c r="K16" s="32"/>
      <c r="L16" s="32"/>
    </row>
    <row r="17" customFormat="false" ht="15" hidden="false" customHeight="false" outlineLevel="0" collapsed="false">
      <c r="A17" s="13" t="s">
        <v>445</v>
      </c>
      <c r="B17" s="13" t="s">
        <v>446</v>
      </c>
      <c r="C17" s="23" t="n">
        <v>100000</v>
      </c>
      <c r="D17" s="15" t="s">
        <v>447</v>
      </c>
      <c r="E17" s="32"/>
      <c r="F17" s="32"/>
      <c r="G17" s="32"/>
      <c r="H17" s="32"/>
      <c r="I17" s="32"/>
      <c r="J17" s="32"/>
      <c r="K17" s="32"/>
      <c r="L17" s="32"/>
    </row>
    <row r="18" customFormat="false" ht="15" hidden="false" customHeight="false" outlineLevel="0" collapsed="false">
      <c r="A18" s="13" t="s">
        <v>448</v>
      </c>
      <c r="B18" s="13" t="s">
        <v>446</v>
      </c>
      <c r="C18" s="23" t="n">
        <v>25000</v>
      </c>
      <c r="D18" s="15" t="s">
        <v>449</v>
      </c>
      <c r="E18" s="32" t="s">
        <v>390</v>
      </c>
      <c r="F18" s="32"/>
      <c r="G18" s="32"/>
      <c r="H18" s="32"/>
      <c r="I18" s="32"/>
      <c r="J18" s="32"/>
      <c r="K18" s="32"/>
      <c r="L18" s="32"/>
    </row>
    <row r="19" customFormat="false" ht="15" hidden="false" customHeight="false" outlineLevel="0" collapsed="false">
      <c r="A19" s="13" t="s">
        <v>450</v>
      </c>
      <c r="B19" s="13" t="s">
        <v>446</v>
      </c>
      <c r="C19" s="23" t="n">
        <v>25000</v>
      </c>
      <c r="D19" s="15" t="s">
        <v>451</v>
      </c>
      <c r="E19" s="32" t="s">
        <v>390</v>
      </c>
      <c r="F19" s="32"/>
      <c r="G19" s="32"/>
      <c r="H19" s="32"/>
      <c r="I19" s="32"/>
      <c r="J19" s="32"/>
      <c r="K19" s="32"/>
      <c r="L19" s="32"/>
    </row>
    <row r="20" customFormat="false" ht="15" hidden="false" customHeight="false" outlineLevel="0" collapsed="false">
      <c r="A20" s="13" t="s">
        <v>452</v>
      </c>
      <c r="B20" s="13" t="s">
        <v>446</v>
      </c>
      <c r="C20" s="23" t="n">
        <v>75000</v>
      </c>
      <c r="D20" s="15" t="s">
        <v>453</v>
      </c>
      <c r="E20" s="32" t="s">
        <v>390</v>
      </c>
      <c r="F20" s="32"/>
      <c r="G20" s="32"/>
      <c r="H20" s="32"/>
      <c r="I20" s="32"/>
      <c r="J20" s="32"/>
      <c r="K20" s="32"/>
      <c r="L20" s="32"/>
    </row>
    <row r="21" customFormat="false" ht="15" hidden="false" customHeight="false" outlineLevel="0" collapsed="false">
      <c r="A21" s="31" t="s">
        <v>454</v>
      </c>
    </row>
    <row r="22" customFormat="false" ht="15" hidden="false" customHeight="false" outlineLevel="0" collapsed="false">
      <c r="A22" s="13" t="s">
        <v>455</v>
      </c>
      <c r="B22" s="13" t="s">
        <v>456</v>
      </c>
      <c r="C22" s="23" t="n">
        <v>0</v>
      </c>
      <c r="D22" s="15" t="s">
        <v>457</v>
      </c>
      <c r="E22" s="32" t="s">
        <v>390</v>
      </c>
      <c r="F22" s="32"/>
      <c r="G22" s="32"/>
      <c r="H22" s="32"/>
      <c r="I22" s="32"/>
      <c r="J22" s="32"/>
      <c r="K22" s="32"/>
      <c r="L22" s="32"/>
    </row>
    <row r="23" customFormat="false" ht="15" hidden="false" customHeight="false" outlineLevel="0" collapsed="false">
      <c r="A23" s="13" t="s">
        <v>458</v>
      </c>
      <c r="B23" s="13" t="s">
        <v>456</v>
      </c>
      <c r="C23" s="23" t="n">
        <v>0</v>
      </c>
      <c r="D23" s="15" t="s">
        <v>457</v>
      </c>
      <c r="E23" s="32"/>
      <c r="F23" s="32"/>
      <c r="G23" s="32"/>
      <c r="H23" s="32"/>
      <c r="I23" s="32"/>
      <c r="J23" s="32"/>
      <c r="K23" s="32"/>
      <c r="L23" s="32"/>
    </row>
    <row r="24" customFormat="false" ht="15" hidden="false" customHeight="false" outlineLevel="0" collapsed="false">
      <c r="A24" s="13" t="s">
        <v>459</v>
      </c>
      <c r="B24" s="13" t="s">
        <v>456</v>
      </c>
      <c r="C24" s="23" t="n">
        <v>0</v>
      </c>
      <c r="D24" s="15" t="s">
        <v>457</v>
      </c>
      <c r="E24" s="32"/>
      <c r="F24" s="32"/>
      <c r="G24" s="32"/>
      <c r="H24" s="32"/>
      <c r="I24" s="32"/>
      <c r="J24" s="32"/>
      <c r="K24" s="32"/>
      <c r="L24" s="32"/>
    </row>
    <row r="25" customFormat="false" ht="15" hidden="false" customHeight="false" outlineLevel="0" collapsed="false">
      <c r="A25" s="13" t="s">
        <v>460</v>
      </c>
      <c r="B25" s="13" t="s">
        <v>461</v>
      </c>
      <c r="C25" s="23" t="n">
        <v>900000</v>
      </c>
      <c r="D25" s="15" t="s">
        <v>462</v>
      </c>
      <c r="E25" s="32" t="s">
        <v>390</v>
      </c>
      <c r="F25" s="32"/>
      <c r="G25" s="32"/>
      <c r="H25" s="32"/>
      <c r="I25" s="32"/>
      <c r="J25" s="32"/>
      <c r="K25" s="32"/>
      <c r="L25" s="32"/>
    </row>
    <row r="26" customFormat="false" ht="15" hidden="false" customHeight="false" outlineLevel="0" collapsed="false">
      <c r="A26" s="13" t="s">
        <v>463</v>
      </c>
      <c r="B26" s="13" t="s">
        <v>461</v>
      </c>
      <c r="C26" s="23" t="n">
        <v>0</v>
      </c>
      <c r="D26" s="15" t="s">
        <v>464</v>
      </c>
      <c r="E26" s="32" t="s">
        <v>390</v>
      </c>
      <c r="F26" s="32"/>
      <c r="G26" s="32"/>
      <c r="H26" s="32"/>
      <c r="I26" s="32"/>
      <c r="J26" s="32"/>
      <c r="K26" s="32"/>
      <c r="L26" s="32"/>
    </row>
    <row r="27" customFormat="false" ht="15" hidden="false" customHeight="false" outlineLevel="0" collapsed="false">
      <c r="A27" s="13" t="s">
        <v>465</v>
      </c>
      <c r="B27" s="13" t="s">
        <v>466</v>
      </c>
      <c r="C27" s="23" t="n">
        <v>0</v>
      </c>
      <c r="D27" s="15" t="s">
        <v>467</v>
      </c>
      <c r="E27" s="32"/>
      <c r="F27" s="32"/>
      <c r="G27" s="32"/>
      <c r="H27" s="32"/>
      <c r="I27" s="32"/>
      <c r="J27" s="32"/>
      <c r="K27" s="32"/>
      <c r="L27" s="32"/>
    </row>
    <row r="28" customFormat="false" ht="15" hidden="false" customHeight="false" outlineLevel="0" collapsed="false">
      <c r="A28" s="13" t="s">
        <v>468</v>
      </c>
      <c r="B28" s="13" t="s">
        <v>469</v>
      </c>
      <c r="C28" s="23" t="n">
        <v>0</v>
      </c>
      <c r="D28" s="15" t="s">
        <v>470</v>
      </c>
      <c r="E28" s="32"/>
      <c r="F28" s="32"/>
      <c r="G28" s="32"/>
      <c r="H28" s="32"/>
      <c r="I28" s="32"/>
      <c r="J28" s="32"/>
      <c r="K28" s="32"/>
      <c r="L28" s="32"/>
    </row>
    <row r="29" customFormat="false" ht="15" hidden="false" customHeight="false" outlineLevel="0" collapsed="false">
      <c r="A29" s="31" t="s">
        <v>471</v>
      </c>
    </row>
    <row r="30" customFormat="false" ht="15" hidden="false" customHeight="false" outlineLevel="0" collapsed="false">
      <c r="A30" s="13" t="s">
        <v>472</v>
      </c>
      <c r="B30" s="13" t="s">
        <v>473</v>
      </c>
      <c r="C30" s="23" t="n">
        <v>0</v>
      </c>
      <c r="D30" s="15" t="s">
        <v>474</v>
      </c>
      <c r="E30" s="32"/>
      <c r="F30" s="32"/>
      <c r="G30" s="32"/>
      <c r="H30" s="32"/>
      <c r="I30" s="32"/>
      <c r="J30" s="32"/>
      <c r="K30" s="32"/>
      <c r="L30" s="32"/>
    </row>
    <row r="31" customFormat="false" ht="15" hidden="false" customHeight="false" outlineLevel="0" collapsed="false">
      <c r="A31" s="13" t="s">
        <v>475</v>
      </c>
      <c r="B31" s="13" t="s">
        <v>473</v>
      </c>
      <c r="C31" s="23" t="n">
        <v>0</v>
      </c>
      <c r="D31" s="15" t="s">
        <v>476</v>
      </c>
      <c r="E31" s="32"/>
      <c r="F31" s="32"/>
      <c r="G31" s="32"/>
      <c r="H31" s="32"/>
      <c r="I31" s="32"/>
      <c r="J31" s="32"/>
      <c r="K31" s="32"/>
      <c r="L31" s="32"/>
    </row>
    <row r="32" customFormat="false" ht="15" hidden="false" customHeight="false" outlineLevel="0" collapsed="false">
      <c r="A32" s="13" t="s">
        <v>477</v>
      </c>
      <c r="B32" s="13" t="s">
        <v>473</v>
      </c>
      <c r="C32" s="23" t="n">
        <v>0</v>
      </c>
      <c r="D32" s="15" t="s">
        <v>478</v>
      </c>
      <c r="E32" s="32"/>
      <c r="F32" s="32"/>
      <c r="G32" s="32"/>
      <c r="H32" s="32"/>
      <c r="I32" s="32"/>
      <c r="J32" s="32"/>
      <c r="K32" s="32"/>
      <c r="L32" s="32"/>
    </row>
    <row r="33" customFormat="false" ht="15" hidden="false" customHeight="false" outlineLevel="0" collapsed="false">
      <c r="A33" s="13" t="s">
        <v>479</v>
      </c>
      <c r="B33" s="13" t="s">
        <v>480</v>
      </c>
      <c r="C33" s="23" t="n">
        <v>0</v>
      </c>
      <c r="D33" s="15" t="s">
        <v>481</v>
      </c>
      <c r="E33" s="32" t="s">
        <v>390</v>
      </c>
      <c r="F33" s="32"/>
      <c r="G33" s="32"/>
      <c r="H33" s="32"/>
      <c r="I33" s="32"/>
      <c r="J33" s="32"/>
      <c r="K33" s="32"/>
      <c r="L33" s="32"/>
    </row>
    <row r="34" customFormat="false" ht="15" hidden="false" customHeight="false" outlineLevel="0" collapsed="false">
      <c r="A34" s="13" t="s">
        <v>482</v>
      </c>
      <c r="B34" s="13" t="s">
        <v>480</v>
      </c>
      <c r="C34" s="23" t="n">
        <v>0</v>
      </c>
      <c r="D34" s="15" t="s">
        <v>483</v>
      </c>
      <c r="E34" s="32"/>
      <c r="F34" s="32"/>
      <c r="G34" s="32"/>
      <c r="H34" s="32"/>
      <c r="I34" s="32"/>
      <c r="J34" s="32"/>
      <c r="K34" s="32"/>
      <c r="L34" s="32"/>
    </row>
    <row r="35" customFormat="false" ht="15" hidden="false" customHeight="false" outlineLevel="0" collapsed="false">
      <c r="A35" s="13" t="s">
        <v>484</v>
      </c>
      <c r="B35" s="13" t="s">
        <v>480</v>
      </c>
      <c r="C35" s="23" t="n">
        <v>0</v>
      </c>
      <c r="D35" s="15" t="s">
        <v>483</v>
      </c>
      <c r="E35" s="32"/>
      <c r="F35" s="32"/>
      <c r="G35" s="32"/>
      <c r="H35" s="32"/>
      <c r="I35" s="32"/>
      <c r="J35" s="32"/>
      <c r="K35" s="32"/>
      <c r="L35" s="32"/>
    </row>
    <row r="36" customFormat="false" ht="15" hidden="false" customHeight="false" outlineLevel="0" collapsed="false">
      <c r="A36" s="13" t="s">
        <v>485</v>
      </c>
      <c r="B36" s="13" t="s">
        <v>473</v>
      </c>
      <c r="C36" s="23" t="n">
        <v>0</v>
      </c>
      <c r="D36" s="15" t="s">
        <v>486</v>
      </c>
      <c r="E36" s="32"/>
      <c r="F36" s="32"/>
      <c r="G36" s="32"/>
      <c r="H36" s="32"/>
      <c r="I36" s="32"/>
      <c r="J36" s="32"/>
      <c r="K36" s="32"/>
      <c r="L36" s="32"/>
    </row>
    <row r="37" customFormat="false" ht="15" hidden="false" customHeight="false" outlineLevel="0" collapsed="false">
      <c r="A37" s="13" t="s">
        <v>487</v>
      </c>
      <c r="B37" s="13" t="s">
        <v>473</v>
      </c>
      <c r="C37" s="23" t="n">
        <v>0</v>
      </c>
      <c r="D37" s="15" t="s">
        <v>488</v>
      </c>
      <c r="E37" s="32"/>
      <c r="F37" s="32"/>
      <c r="G37" s="32"/>
      <c r="H37" s="32"/>
      <c r="I37" s="32"/>
      <c r="J37" s="32"/>
      <c r="K37" s="32"/>
      <c r="L37" s="32"/>
    </row>
    <row r="39" customFormat="false" ht="15" hidden="false" customHeight="false" outlineLevel="0" collapsed="false">
      <c r="A39" s="16" t="s">
        <v>489</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490</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491</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492</v>
      </c>
    </row>
    <row r="2" customFormat="false" ht="15" hidden="false" customHeight="false" outlineLevel="0" collapsed="false">
      <c r="A2" s="2" t="s">
        <v>493</v>
      </c>
    </row>
    <row r="4" customFormat="false" ht="15" hidden="false" customHeight="false" outlineLevel="0" collapsed="false">
      <c r="A4" s="16" t="s">
        <v>155</v>
      </c>
      <c r="B4" s="17" t="s">
        <v>494</v>
      </c>
      <c r="D4" s="16" t="s">
        <v>495</v>
      </c>
    </row>
    <row r="5" customFormat="false" ht="15" hidden="false" customHeight="false" outlineLevel="0" collapsed="false">
      <c r="A5" s="16" t="s">
        <v>157</v>
      </c>
      <c r="B5" s="18" t="n">
        <v>46313.7083333333</v>
      </c>
      <c r="E5" s="16" t="s">
        <v>496</v>
      </c>
      <c r="F5" s="16" t="s">
        <v>497</v>
      </c>
      <c r="G5" s="16" t="s">
        <v>498</v>
      </c>
    </row>
    <row r="6" customFormat="false" ht="15" hidden="false" customHeight="false" outlineLevel="0" collapsed="false">
      <c r="A6" s="16" t="s">
        <v>158</v>
      </c>
      <c r="B6" s="19" t="n">
        <v>285572765</v>
      </c>
      <c r="D6" s="17" t="s">
        <v>499</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500</v>
      </c>
      <c r="B9" s="34" t="n">
        <v>20</v>
      </c>
    </row>
    <row r="10" customFormat="false" ht="15" hidden="false" customHeight="false" outlineLevel="0" collapsed="false">
      <c r="A10" s="16" t="s">
        <v>501</v>
      </c>
      <c r="B10" s="20" t="n">
        <f aca="false">MAX(0,INDEX(B13:B54,B9)-B6)</f>
        <v>139427235</v>
      </c>
    </row>
    <row r="11" customFormat="false" ht="15" hidden="false" customHeight="false" outlineLevel="0" collapsed="false">
      <c r="A11" s="16" t="s">
        <v>502</v>
      </c>
      <c r="B11" s="20" t="n">
        <f aca="true">IFERROR(B10/MAX(B5-NOW(),0.01),0)</f>
        <v>20199817.2122427</v>
      </c>
    </row>
    <row r="12" customFormat="false" ht="15" hidden="false" customHeight="false" outlineLevel="0" collapsed="false">
      <c r="A12" s="3" t="s">
        <v>167</v>
      </c>
      <c r="B12" s="3" t="s">
        <v>168</v>
      </c>
      <c r="C12" s="3" t="s">
        <v>503</v>
      </c>
      <c r="D12" s="3" t="s">
        <v>416</v>
      </c>
      <c r="E12" s="3" t="s">
        <v>496</v>
      </c>
      <c r="F12" s="3" t="s">
        <v>497</v>
      </c>
      <c r="G12" s="3" t="s">
        <v>498</v>
      </c>
      <c r="H12" s="3" t="s">
        <v>12</v>
      </c>
      <c r="I12" s="3" t="s">
        <v>170</v>
      </c>
    </row>
    <row r="13" customFormat="false" ht="15" hidden="false" customHeight="false" outlineLevel="0" collapsed="false">
      <c r="A13" s="22" t="n">
        <v>1</v>
      </c>
      <c r="B13" s="26"/>
      <c r="C13" s="12"/>
      <c r="D13" s="12" t="s">
        <v>504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506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506</v>
      </c>
      <c r="E16" s="30" t="n">
        <v>0</v>
      </c>
      <c r="F16" s="30" t="n">
        <v>0</v>
      </c>
      <c r="G16" s="30" t="n">
        <v>0</v>
      </c>
      <c r="H16" s="11" t="s">
        <v>172</v>
      </c>
      <c r="I16" s="23" t="str">
        <f aca="false">IF(B16="","",MAX(0,B16-$B$6))</f>
        <v/>
      </c>
    </row>
    <row r="17" customFormat="false" ht="15" hidden="false" customHeight="false" outlineLevel="0" collapsed="false">
      <c r="A17" s="22" t="n">
        <v>5</v>
      </c>
      <c r="B17" s="26"/>
      <c r="C17" s="12" t="s">
        <v>507</v>
      </c>
      <c r="D17" s="12" t="s">
        <v>508</v>
      </c>
      <c r="E17" s="30" t="n">
        <v>0</v>
      </c>
      <c r="F17" s="30" t="n">
        <v>0</v>
      </c>
      <c r="G17" s="30" t="n">
        <v>0</v>
      </c>
      <c r="H17" s="11" t="s">
        <v>172</v>
      </c>
      <c r="I17" s="23" t="str">
        <f aca="false">IF(B17="","",MAX(0,B17-$B$6))</f>
        <v/>
      </c>
    </row>
    <row r="18" customFormat="false" ht="15" hidden="false" customHeight="false" outlineLevel="0" collapsed="false">
      <c r="A18" s="22" t="n">
        <v>6</v>
      </c>
      <c r="B18" s="26"/>
      <c r="C18" s="12" t="s">
        <v>509</v>
      </c>
      <c r="D18" s="12" t="s">
        <v>510</v>
      </c>
      <c r="E18" s="30" t="n">
        <v>0</v>
      </c>
      <c r="F18" s="30" t="n">
        <v>0</v>
      </c>
      <c r="G18" s="30" t="n">
        <v>0</v>
      </c>
      <c r="H18" s="11" t="s">
        <v>172</v>
      </c>
      <c r="I18" s="23" t="str">
        <f aca="false">IF(B18="","",MAX(0,B18-$B$6))</f>
        <v/>
      </c>
    </row>
    <row r="19" customFormat="false" ht="15" hidden="false" customHeight="false" outlineLevel="0" collapsed="false">
      <c r="A19" s="22" t="n">
        <v>7</v>
      </c>
      <c r="B19" s="26"/>
      <c r="C19" s="12" t="s">
        <v>511</v>
      </c>
      <c r="D19" s="12" t="s">
        <v>512</v>
      </c>
      <c r="E19" s="30" t="n">
        <v>0</v>
      </c>
      <c r="F19" s="30" t="n">
        <v>0</v>
      </c>
      <c r="G19" s="30" t="n">
        <v>0</v>
      </c>
      <c r="H19" s="11" t="s">
        <v>172</v>
      </c>
      <c r="I19" s="23" t="str">
        <f aca="false">IF(B19="","",MAX(0,B19-$B$6))</f>
        <v/>
      </c>
    </row>
    <row r="20" customFormat="false" ht="15" hidden="false" customHeight="false" outlineLevel="0" collapsed="false">
      <c r="A20" s="22" t="n">
        <v>8</v>
      </c>
      <c r="B20" s="26"/>
      <c r="C20" s="12" t="s">
        <v>513</v>
      </c>
      <c r="D20" s="12" t="s">
        <v>514</v>
      </c>
      <c r="E20" s="30" t="n">
        <v>0</v>
      </c>
      <c r="F20" s="30" t="n">
        <v>0</v>
      </c>
      <c r="G20" s="30" t="n">
        <v>0</v>
      </c>
      <c r="H20" s="11" t="s">
        <v>172</v>
      </c>
      <c r="I20" s="23" t="str">
        <f aca="false">IF(B20="","",MAX(0,B20-$B$6))</f>
        <v/>
      </c>
    </row>
    <row r="21" customFormat="false" ht="15" hidden="false" customHeight="false" outlineLevel="0" collapsed="false">
      <c r="A21" s="22" t="n">
        <v>9</v>
      </c>
      <c r="B21" s="26"/>
      <c r="C21" s="12" t="s">
        <v>515</v>
      </c>
      <c r="D21" s="12" t="s">
        <v>516</v>
      </c>
      <c r="E21" s="30" t="n">
        <v>0</v>
      </c>
      <c r="F21" s="30" t="n">
        <v>0</v>
      </c>
      <c r="G21" s="30" t="n">
        <v>0</v>
      </c>
      <c r="H21" s="11" t="s">
        <v>172</v>
      </c>
      <c r="I21" s="23" t="str">
        <f aca="false">IF(B21="","",MAX(0,B21-$B$6))</f>
        <v/>
      </c>
    </row>
    <row r="22" customFormat="false" ht="15" hidden="false" customHeight="false" outlineLevel="0" collapsed="false">
      <c r="A22" s="22" t="n">
        <v>10</v>
      </c>
      <c r="B22" s="26"/>
      <c r="C22" s="12" t="s">
        <v>517</v>
      </c>
      <c r="D22" s="12" t="s">
        <v>518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519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520</v>
      </c>
      <c r="D24" s="12" t="s">
        <v>521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522</v>
      </c>
      <c r="D25" s="12" t="s">
        <v>521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523</v>
      </c>
      <c r="D26" s="12" t="s">
        <v>521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521</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524</v>
      </c>
      <c r="D28" s="12" t="s">
        <v>521</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525</v>
      </c>
      <c r="D29" s="12" t="s">
        <v>521</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526</v>
      </c>
      <c r="D30" s="12" t="s">
        <v>527</v>
      </c>
      <c r="E30" s="26"/>
      <c r="F30" s="26"/>
      <c r="G30" s="26"/>
      <c r="H30" s="11" t="s">
        <v>207</v>
      </c>
      <c r="I30" s="23" t="n">
        <f aca="false">IF(B30="","",MAX(0,B30-$B$6))</f>
        <v>89427235</v>
      </c>
    </row>
    <row r="31" customFormat="false" ht="15" hidden="false" customHeight="false" outlineLevel="0" collapsed="false">
      <c r="A31" s="22" t="n">
        <v>19</v>
      </c>
      <c r="B31" s="30" t="n">
        <v>400000000</v>
      </c>
      <c r="C31" s="12" t="s">
        <v>528</v>
      </c>
      <c r="D31" s="12" t="s">
        <v>521</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529</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530</v>
      </c>
      <c r="D33" s="12" t="s">
        <v>521</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531</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532</v>
      </c>
      <c r="D35" s="12" t="s">
        <v>521</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533</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534</v>
      </c>
      <c r="D37" s="12" t="s">
        <v>521</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535</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536</v>
      </c>
      <c r="D39" s="12" t="s">
        <v>521</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537</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538</v>
      </c>
      <c r="D41" s="12" t="s">
        <v>521</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539</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540</v>
      </c>
      <c r="D43" s="12" t="s">
        <v>521</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541</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542</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540</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543</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544</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545</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546</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547</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548</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549</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550</v>
      </c>
      <c r="D54" s="12"/>
      <c r="E54" s="30" t="n">
        <v>1400000</v>
      </c>
      <c r="F54" s="30" t="n">
        <v>1400000</v>
      </c>
      <c r="G54" s="30" t="n">
        <v>2700000</v>
      </c>
      <c r="H54" s="11" t="s">
        <v>207</v>
      </c>
      <c r="I54" s="23" t="n">
        <f aca="false">IF(B54="","",MAX(0,B54-$B$6))</f>
        <v>3214427235</v>
      </c>
    </row>
    <row r="56" customFormat="false" ht="15" hidden="false" customHeight="false" outlineLevel="0" collapsed="false">
      <c r="A56" s="2" t="s">
        <v>551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2026-10-11T23:20:28Z</dcterms:created>
  <dc:creator>openpyxl</dc:creator>
  <dc:description/>
  <dc:language>en-US</dc:language>
  <cp:lastModifiedBy/>
  <dcterms:modified xsi:type="dcterms:W3CDTF">2026-10-11T23:20:29Z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