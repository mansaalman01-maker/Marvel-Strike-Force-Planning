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<sst xmlns="http://schemas.openxmlformats.org/spreadsheetml/2006/main" count="1024" uniqueCount="531">
  <si>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</si>
  <si>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</si>
  <si>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</si>
  <si>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</si>
  <si>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</si>
  <si>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</si>
  <si>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</si>
  <si>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</si>
  <si>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</si>
  <si>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</si>
  <si>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</si>
  <si>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</si>
  <si>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</si>
  <si>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</si>
  <si>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</si>
  <si>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</si>
  <si>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</si>
  <si>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</si>
  <si>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</si>
  <si>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</si>
  <si>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</si>
  <si>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</si>
  <si>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</si>
  <si>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</si>
  <si>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</si>
  <si>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</si>
  <si>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</si>
  <si>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</si>
  <si>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</si>
  <si>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</si>
  <si>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</si>
  <si>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</si>
  <si>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</si>
  <si>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</si>
  <si>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</si>
  <si>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</si>
  <si>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</si>
  <si>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</si>
  <si>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</si>
  <si>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</si>
  <si>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</si>
  <si>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</si>
  <si>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</si>
  <si>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</si>
  <si>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</si>
  <si>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</si>
  <si>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</si>
  <si>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</si>
  <si>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</si>
  <si>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</si>
  <si>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</si>
  <si>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</si>
  <si>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</si>
  <si>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</si>
  <si>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</si>
  <si>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</si>
  <si>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</si>
  <si>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</si>
  <si>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</si>
  <si>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</si>
  <si>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</si>
  <si>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</si>
  <si>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</si>
  <si>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</si>
  <si>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</si>
  <si>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</si>
  <si>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</si>
  <si>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</si>
  <si>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</si>
  <si>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</si>
  <si>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</si>
  <si>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</si>
  <si>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</si>
  <si>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</si>
  <si>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</si>
  <si>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</si>
  <si>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</si>
  <si>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</si>
  <si>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</si>
  <si>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</si>
  <si>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</si>
  <si>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</si>
  <si>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</si>
  <si>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</si>
  <si>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</si>
  <si>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</si>
  <si>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</si>
  <si>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</si>
  <si>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</si>
  <si>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</si>
  <si>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</si>
  <si>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</si>
  <si>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</si>
  <si>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</si>
  <si>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</si>
  <si>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</si>
  <si>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</si>
  <si>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</si>
  <si>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</si>
  <si>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</si>
  <si>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</si>
  <si>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</si>
  <si>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</si>
  <si>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</si>
  <si>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</si>
  <si>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</si>
  <si>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</si>
  <si>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</si>
  <si>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</si>
  <si>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</si>
  <si>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</si>
  <si>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</si>
  <si>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</si>
  <si>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</si>
  <si>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</si>
  <si>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</si>
  <si>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</si>
  <si>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</si>
  <si>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</si>
  <si>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</si>
  <si>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</si>
  <si>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</si>
  <si>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</si>
  <si>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</si>
  <si>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</si>
  <si>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</si>
  <si>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</si>
  <si>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</si>
  <si>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</si>
  <si>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</si>
  <si>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</si>
  <si>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</si>
  <si>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</si>
  <si>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</si>
  <si>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</si>
  <si>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</si>
  <si>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</si>
  <si>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</si>
  <si>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</si>
  <si>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</si>
  <si>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</si>
  <si>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</si>
  <si>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</si>
  <si>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</si>
  <si>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</si>
  <si>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</si>
  <si>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</si>
  <si>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</si>
  <si>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</si>
  <si>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</si>
  <si>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</si>
  <si>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</si>
  <si>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</si>
  <si>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</si>
  <si>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</si>
  <si>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</si>
  <si>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</si>
  <si>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</si>
  <si>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</si>
  <si>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</si>
  <si>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</si>
  <si>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</si>
  <si>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</si>
  <si>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</si>
  <si>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</si>
  <si>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</si>
  <si>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</si>
  <si>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</si>
  <si>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</si>
  <si>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</si>
  <si>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</si>
  <si>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</si>
  <si>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</si>
  <si>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</si>
  <si>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</si>
  <si>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</si>
  <si>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</si>
  <si>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</si>
  <si>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</si>
  <si>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</si>
  <si>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</si>
  <si>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</si>
  <si>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</si>
  <si>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</si>
  <si>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</si>
  <si>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</si>
  <si>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</si>
  <si>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</si>
  <si>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</si>
  <si>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</si>
  <si>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</si>
  <si>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</si>
  <si>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</si>
  <si>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</si>
  <si>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</si>
  <si>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</si>
  <si>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</si>
  <si>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</si>
  <si>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</si>
  <si>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</si>
  <si>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</si>
  <si>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</si>
  <si>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</si>
  <si>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</si>
  <si>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</si>
  <si>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</si>
  <si>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</si>
  <si>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</si>
  <si>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</si>
  <si>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</si>
  <si>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</si>
  <si>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</si>
  <si>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</si>
  <si>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</si>
  <si>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</si>
  <si>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</si>
  <si>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</si>
  <si>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</si>
  <si>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</si>
  <si>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</si>
  <si>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</si>
  <si>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</si>
  <si>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</si>
  <si>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</si>
  <si>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</si>
  <si>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</si>
  <si>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</si>
  <si>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</si>
  <si>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</si>
  <si>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</si>
  <si>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</si>
  <si>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</si>
  <si>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</si>
  <si>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</si>
  <si>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</si>
  <si>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</si>
  <si>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</si>
  <si>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</si>
  <si>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</si>
  <si>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</si>
  <si>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</si>
  <si>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</si>
  <si>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</si>
  <si>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</si>
  <si>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</si>
  <si>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</si>
  <si>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</si>
  <si>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</si>
  <si>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</si>
  <si>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</si>
  <si>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</si>
  <si>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</si>
  <si>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</si>
  <si>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</si>
  <si>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</si>
  <si>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</si>
  <si>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</si>
  <si>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</si>
  <si>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</si>
  <si>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</si>
  <si>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</si>
  <si>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</si>
  <si>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</si>
  <si>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</si>
  <si>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</si>
  <si>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</si>
  <si>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</si>
  <si>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</si>
  <si>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</si>
  <si>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</si>
  <si>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</si>
  <si>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</si>
  <si>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</si>
  <si>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</si>
  <si>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</si>
  <si>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</si>
  <si>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</si>
  <si>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</si>
  <si>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</si>
  <si>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</si>
  <si>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</si>
  <si>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</si>
  <si>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</si>
  <si>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</si>
  <si>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</si>
  <si>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</si>
  <si>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</si>
  <si>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</si>
  <si>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</si>
  <si>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</si>
  <si>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</si>
  <si>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</si>
  <si>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</si>
  <si>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</si>
  <si>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</si>
  <si>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</si>
  <si>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</si>
  <si>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</si>
  <si>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</si>
  <si>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</si>
  <si>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</si>
  <si>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</si>
  <si>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</si>
  <si>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</si>
  <si>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</si>
  <si>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</si>
  <si>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</si>
  <si>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</si>
  <si>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</si>
  <si>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</si>
  <si>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</si>
  <si>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</si>
  <si>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</si>
  <si>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</si>
  <si>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</si>
  <si>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</si>
  <si>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</si>
  <si>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</si>
  <si>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</si>
  <si>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</si>
  <si>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</si>
  <si>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</si>
  <si>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</si>
  <si>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</si>
  <si>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</si>
  <si>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</si>
  <si>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</si>
  <si>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</si>
  <si>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</si>
  <si>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</si>
  <si>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</si>
  <si>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</si>
  <si>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</si>
  <si>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</si>
  <si>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</si>
  <si>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</si>
  <si>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</si>
  <si>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</si>
  <si>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</si>
  <si>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</si>
  <si>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</si>
  <si>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</si>
  <si>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</si>
  <si>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</si>
  <si>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</si>
  <si>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</si>
  <si>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</si>
  <si>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</si>
  <si>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</si>
  <si>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</si>
  <si>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</si>
  <si>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</si>
  <si>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</si>
  <si>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</si>
  <si>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</si>
  <si>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</si>
  <si>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</si>
  <si>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</si>
  <si>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</si>
  <si>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</si>
  <si>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</si>
  <si>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</si>
  <si>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</si>
  <si>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</si>
  <si>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</si>
  <si>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</si>
  <si>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Alliance War, Oct 13 to 14</t>
  </si>
  <si>
    <t xml:space="preserve">Defeat reward counted. A win doubles it to 272K each</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</si>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</sst>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432211000</v>
      </c>
      <c r="D6" s="16" t="s">
        <v>159</v>
      </c>
      <c r="E6" s="20" t="n">
        <f aca="false">B6+Scoring!F51</f>
        <v>5979211000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2789000</v>
      </c>
    </row>
    <row r="10" customFormat="false" ht="15" hidden="false" customHeight="false" outlineLevel="0" collapsed="false">
      <c r="A10" s="16" t="s">
        <v>165</v>
      </c>
      <c r="B10" s="20" t="n">
        <f aca="false">MAX(0,B76-B6)</f>
        <v>3692789000</v>
      </c>
    </row>
    <row r="11" customFormat="false" ht="15" hidden="false" customHeight="false" outlineLevel="0" collapsed="false">
      <c r="A11" s="16" t="s">
        <v>166</v>
      </c>
      <c r="B11" s="20" t="n">
        <f aca="true">IFERROR(B10/MAX(B5-NOW(),0.01),0)</f>
        <v>527985465.944581</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2789000</v>
      </c>
      <c r="F50" s="11" t="s">
        <v>207</v>
      </c>
    </row>
    <row r="51" customFormat="false" ht="15" hidden="false" customHeight="false" outlineLevel="0" collapsed="false">
      <c r="A51" s="22" t="n">
        <v>39</v>
      </c>
      <c r="B51" s="14" t="n">
        <v>450000000</v>
      </c>
      <c r="C51" s="12" t="s">
        <v>208</v>
      </c>
      <c r="D51" s="12"/>
      <c r="E51" s="23" t="n">
        <f aca="false">IF(B51="","",MAX(0,B51-$B$6))</f>
        <v>17789000</v>
      </c>
      <c r="F51" s="11" t="s">
        <v>207</v>
      </c>
    </row>
    <row r="52" customFormat="false" ht="15" hidden="false" customHeight="false" outlineLevel="0" collapsed="false">
      <c r="A52" s="22" t="n">
        <v>40</v>
      </c>
      <c r="B52" s="14" t="n">
        <v>480000000</v>
      </c>
      <c r="C52" s="12" t="s">
        <v>209</v>
      </c>
      <c r="D52" s="12"/>
      <c r="E52" s="23" t="n">
        <f aca="false">IF(B52="","",MAX(0,B52-$B$6))</f>
        <v>47789000</v>
      </c>
      <c r="F52" s="11" t="s">
        <v>207</v>
      </c>
    </row>
    <row r="53" customFormat="false" ht="15" hidden="false" customHeight="false" outlineLevel="0" collapsed="false">
      <c r="A53" s="22" t="n">
        <v>41</v>
      </c>
      <c r="B53" s="14" t="n">
        <v>510000000</v>
      </c>
      <c r="C53" s="12" t="s">
        <v>210</v>
      </c>
      <c r="D53" s="12" t="s">
        <v>211</v>
      </c>
      <c r="E53" s="23" t="n">
        <f aca="false">IF(B53="","",MAX(0,B53-$B$6))</f>
        <v>77789000</v>
      </c>
      <c r="F53" s="11" t="s">
        <v>207</v>
      </c>
    </row>
    <row r="54" customFormat="false" ht="15" hidden="false" customHeight="false" outlineLevel="0" collapsed="false">
      <c r="A54" s="22" t="n">
        <v>42</v>
      </c>
      <c r="B54" s="14" t="n">
        <v>540000000</v>
      </c>
      <c r="C54" s="12" t="s">
        <v>212</v>
      </c>
      <c r="D54" s="12"/>
      <c r="E54" s="23" t="n">
        <f aca="false">IF(B54="","",MAX(0,B54-$B$6))</f>
        <v>107789000</v>
      </c>
      <c r="F54" s="11" t="s">
        <v>207</v>
      </c>
    </row>
    <row r="55" customFormat="false" ht="15" hidden="false" customHeight="false" outlineLevel="0" collapsed="false">
      <c r="A55" s="22" t="n">
        <v>43</v>
      </c>
      <c r="B55" s="14" t="n">
        <v>570000000</v>
      </c>
      <c r="C55" s="12" t="s">
        <v>213</v>
      </c>
      <c r="D55" s="12"/>
      <c r="E55" s="23" t="n">
        <f aca="false">IF(B55="","",MAX(0,B55-$B$6))</f>
        <v>137789000</v>
      </c>
      <c r="F55" s="11" t="s">
        <v>207</v>
      </c>
    </row>
    <row r="56" customFormat="false" ht="15" hidden="false" customHeight="false" outlineLevel="0" collapsed="false">
      <c r="A56" s="22" t="n">
        <v>44</v>
      </c>
      <c r="B56" s="14" t="n">
        <v>600000000</v>
      </c>
      <c r="C56" s="12" t="s">
        <v>214</v>
      </c>
      <c r="D56" s="12"/>
      <c r="E56" s="23" t="n">
        <f aca="false">IF(B56="","",MAX(0,B56-$B$6))</f>
        <v>167789000</v>
      </c>
      <c r="F56" s="11" t="s">
        <v>207</v>
      </c>
    </row>
    <row r="57" customFormat="false" ht="15" hidden="false" customHeight="false" outlineLevel="0" collapsed="false">
      <c r="A57" s="22" t="n">
        <v>45</v>
      </c>
      <c r="B57" s="14" t="n">
        <v>630000000</v>
      </c>
      <c r="C57" s="12" t="s">
        <v>215</v>
      </c>
      <c r="D57" s="12"/>
      <c r="E57" s="23" t="n">
        <f aca="false">IF(B57="","",MAX(0,B57-$B$6))</f>
        <v>197789000</v>
      </c>
      <c r="F57" s="11" t="s">
        <v>207</v>
      </c>
    </row>
    <row r="58" customFormat="false" ht="15" hidden="false" customHeight="false" outlineLevel="0" collapsed="false">
      <c r="A58" s="22" t="n">
        <v>46</v>
      </c>
      <c r="B58" s="14" t="n">
        <v>660000000</v>
      </c>
      <c r="C58" s="12" t="s">
        <v>216</v>
      </c>
      <c r="D58" s="12"/>
      <c r="E58" s="23" t="n">
        <f aca="false">IF(B58="","",MAX(0,B58-$B$6))</f>
        <v>227789000</v>
      </c>
      <c r="F58" s="11" t="s">
        <v>207</v>
      </c>
    </row>
    <row r="59" customFormat="false" ht="15" hidden="false" customHeight="false" outlineLevel="0" collapsed="false">
      <c r="A59" s="22" t="n">
        <v>47</v>
      </c>
      <c r="B59" s="14" t="n">
        <v>690000000</v>
      </c>
      <c r="C59" s="12" t="s">
        <v>217</v>
      </c>
      <c r="D59" s="12"/>
      <c r="E59" s="23" t="n">
        <f aca="false">IF(B59="","",MAX(0,B59-$B$6))</f>
        <v>257789000</v>
      </c>
      <c r="F59" s="11" t="s">
        <v>207</v>
      </c>
    </row>
    <row r="60" customFormat="false" ht="15" hidden="false" customHeight="false" outlineLevel="0" collapsed="false">
      <c r="A60" s="22" t="n">
        <v>48</v>
      </c>
      <c r="B60" s="14" t="n">
        <v>750000000</v>
      </c>
      <c r="C60" s="12" t="s">
        <v>218</v>
      </c>
      <c r="D60" s="12"/>
      <c r="E60" s="23" t="n">
        <f aca="false">IF(B60="","",MAX(0,B60-$B$6))</f>
        <v>317789000</v>
      </c>
      <c r="F60" s="11" t="s">
        <v>207</v>
      </c>
    </row>
    <row r="61" customFormat="false" ht="15" hidden="false" customHeight="false" outlineLevel="0" collapsed="false">
      <c r="A61" s="22" t="n">
        <v>49</v>
      </c>
      <c r="B61" s="14" t="n">
        <v>825000000</v>
      </c>
      <c r="C61" s="12" t="s">
        <v>219</v>
      </c>
      <c r="D61" s="12"/>
      <c r="E61" s="23" t="n">
        <f aca="false">IF(B61="","",MAX(0,B61-$B$6))</f>
        <v>392789000</v>
      </c>
      <c r="F61" s="11" t="s">
        <v>207</v>
      </c>
    </row>
    <row r="62" customFormat="false" ht="15" hidden="false" customHeight="false" outlineLevel="0" collapsed="false">
      <c r="A62" s="22" t="n">
        <v>50</v>
      </c>
      <c r="B62" s="14" t="n">
        <v>900000000</v>
      </c>
      <c r="C62" s="12" t="s">
        <v>220</v>
      </c>
      <c r="D62" s="12"/>
      <c r="E62" s="23" t="n">
        <f aca="false">IF(B62="","",MAX(0,B62-$B$6))</f>
        <v>467789000</v>
      </c>
      <c r="F62" s="11" t="s">
        <v>207</v>
      </c>
    </row>
    <row r="63" customFormat="false" ht="15" hidden="false" customHeight="false" outlineLevel="0" collapsed="false">
      <c r="A63" s="22" t="n">
        <v>51</v>
      </c>
      <c r="B63" s="14" t="n">
        <v>975000000</v>
      </c>
      <c r="C63" s="12" t="s">
        <v>221</v>
      </c>
      <c r="D63" s="12"/>
      <c r="E63" s="23" t="n">
        <f aca="false">IF(B63="","",MAX(0,B63-$B$6))</f>
        <v>542789000</v>
      </c>
      <c r="F63" s="11" t="s">
        <v>207</v>
      </c>
    </row>
    <row r="64" customFormat="false" ht="15" hidden="false" customHeight="false" outlineLevel="0" collapsed="false">
      <c r="A64" s="22" t="n">
        <v>52</v>
      </c>
      <c r="B64" s="14" t="n">
        <v>1050000000</v>
      </c>
      <c r="C64" s="12" t="s">
        <v>222</v>
      </c>
      <c r="D64" s="12"/>
      <c r="E64" s="23" t="n">
        <f aca="false">IF(B64="","",MAX(0,B64-$B$6))</f>
        <v>617789000</v>
      </c>
      <c r="F64" s="11" t="s">
        <v>207</v>
      </c>
    </row>
    <row r="65" customFormat="false" ht="15" hidden="false" customHeight="false" outlineLevel="0" collapsed="false">
      <c r="A65" s="22" t="n">
        <v>53</v>
      </c>
      <c r="B65" s="14" t="n">
        <v>1125000000</v>
      </c>
      <c r="C65" s="12" t="s">
        <v>223</v>
      </c>
      <c r="D65" s="12"/>
      <c r="E65" s="23" t="n">
        <f aca="false">IF(B65="","",MAX(0,B65-$B$6))</f>
        <v>692789000</v>
      </c>
      <c r="F65" s="11" t="s">
        <v>207</v>
      </c>
    </row>
    <row r="66" customFormat="false" ht="15" hidden="false" customHeight="false" outlineLevel="0" collapsed="false">
      <c r="A66" s="22" t="n">
        <v>54</v>
      </c>
      <c r="B66" s="14" t="n">
        <v>1200000000</v>
      </c>
      <c r="C66" s="12" t="s">
        <v>224</v>
      </c>
      <c r="D66" s="12"/>
      <c r="E66" s="23" t="n">
        <f aca="false">IF(B66="","",MAX(0,B66-$B$6))</f>
        <v>767789000</v>
      </c>
      <c r="F66" s="11" t="s">
        <v>207</v>
      </c>
    </row>
    <row r="67" customFormat="false" ht="15" hidden="false" customHeight="false" outlineLevel="0" collapsed="false">
      <c r="A67" s="22" t="n">
        <v>55</v>
      </c>
      <c r="B67" s="14" t="n">
        <v>1350000000</v>
      </c>
      <c r="C67" s="12" t="s">
        <v>225</v>
      </c>
      <c r="D67" s="12"/>
      <c r="E67" s="23" t="n">
        <f aca="false">IF(B67="","",MAX(0,B67-$B$6))</f>
        <v>917789000</v>
      </c>
      <c r="F67" s="11" t="s">
        <v>207</v>
      </c>
    </row>
    <row r="68" customFormat="false" ht="15" hidden="false" customHeight="false" outlineLevel="0" collapsed="false">
      <c r="A68" s="22" t="n">
        <v>56</v>
      </c>
      <c r="B68" s="14" t="n">
        <v>1500000000</v>
      </c>
      <c r="C68" s="12" t="s">
        <v>226</v>
      </c>
      <c r="D68" s="12"/>
      <c r="E68" s="23" t="n">
        <f aca="false">IF(B68="","",MAX(0,B68-$B$6))</f>
        <v>1067789000</v>
      </c>
      <c r="F68" s="11" t="s">
        <v>207</v>
      </c>
    </row>
    <row r="69" customFormat="false" ht="15" hidden="false" customHeight="false" outlineLevel="0" collapsed="false">
      <c r="A69" s="22" t="n">
        <v>57</v>
      </c>
      <c r="B69" s="14" t="n">
        <v>1650000000</v>
      </c>
      <c r="C69" s="12" t="s">
        <v>227</v>
      </c>
      <c r="D69" s="12"/>
      <c r="E69" s="23" t="n">
        <f aca="false">IF(B69="","",MAX(0,B69-$B$6))</f>
        <v>1217789000</v>
      </c>
      <c r="F69" s="11" t="s">
        <v>207</v>
      </c>
    </row>
    <row r="70" customFormat="false" ht="15" hidden="false" customHeight="false" outlineLevel="0" collapsed="false">
      <c r="A70" s="22" t="n">
        <v>58</v>
      </c>
      <c r="B70" s="14" t="n">
        <v>1875000000</v>
      </c>
      <c r="C70" s="12" t="s">
        <v>228</v>
      </c>
      <c r="D70" s="12"/>
      <c r="E70" s="23" t="n">
        <f aca="false">IF(B70="","",MAX(0,B70-$B$6))</f>
        <v>1442789000</v>
      </c>
      <c r="F70" s="11" t="s">
        <v>207</v>
      </c>
    </row>
    <row r="71" customFormat="false" ht="15" hidden="false" customHeight="false" outlineLevel="0" collapsed="false">
      <c r="A71" s="22" t="n">
        <v>59</v>
      </c>
      <c r="B71" s="14" t="n">
        <v>2250000000</v>
      </c>
      <c r="C71" s="12" t="s">
        <v>229</v>
      </c>
      <c r="D71" s="12"/>
      <c r="E71" s="23" t="n">
        <f aca="false">IF(B71="","",MAX(0,B71-$B$6))</f>
        <v>1817789000</v>
      </c>
      <c r="F71" s="11" t="s">
        <v>207</v>
      </c>
    </row>
    <row r="72" customFormat="false" ht="15" hidden="false" customHeight="false" outlineLevel="0" collapsed="false">
      <c r="A72" s="22" t="n">
        <v>60</v>
      </c>
      <c r="B72" s="14" t="n">
        <v>2625000000</v>
      </c>
      <c r="C72" s="12" t="s">
        <v>230</v>
      </c>
      <c r="D72" s="12"/>
      <c r="E72" s="23" t="n">
        <f aca="false">IF(B72="","",MAX(0,B72-$B$6))</f>
        <v>2192789000</v>
      </c>
      <c r="F72" s="11" t="s">
        <v>207</v>
      </c>
    </row>
    <row r="73" customFormat="false" ht="15" hidden="false" customHeight="false" outlineLevel="0" collapsed="false">
      <c r="A73" s="22" t="n">
        <v>61</v>
      </c>
      <c r="B73" s="14" t="n">
        <v>3000000000</v>
      </c>
      <c r="C73" s="12" t="s">
        <v>231</v>
      </c>
      <c r="D73" s="12"/>
      <c r="E73" s="23" t="n">
        <f aca="false">IF(B73="","",MAX(0,B73-$B$6))</f>
        <v>2567789000</v>
      </c>
      <c r="F73" s="11" t="s">
        <v>207</v>
      </c>
    </row>
    <row r="74" customFormat="false" ht="15" hidden="false" customHeight="false" outlineLevel="0" collapsed="false">
      <c r="A74" s="22" t="n">
        <v>62</v>
      </c>
      <c r="B74" s="14" t="n">
        <v>3375000000</v>
      </c>
      <c r="C74" s="12" t="s">
        <v>232</v>
      </c>
      <c r="D74" s="12"/>
      <c r="E74" s="23" t="n">
        <f aca="false">IF(B74="","",MAX(0,B74-$B$6))</f>
        <v>2942789000</v>
      </c>
      <c r="F74" s="11" t="s">
        <v>207</v>
      </c>
    </row>
    <row r="75" customFormat="false" ht="15" hidden="false" customHeight="false" outlineLevel="0" collapsed="false">
      <c r="A75" s="22" t="n">
        <v>63</v>
      </c>
      <c r="B75" s="14" t="n">
        <v>3750000000</v>
      </c>
      <c r="C75" s="12" t="s">
        <v>233</v>
      </c>
      <c r="D75" s="12"/>
      <c r="E75" s="23" t="n">
        <f aca="false">IF(B75="","",MAX(0,B75-$B$6))</f>
        <v>3317789000</v>
      </c>
      <c r="F75" s="11" t="s">
        <v>207</v>
      </c>
    </row>
    <row r="76" customFormat="false" ht="15" hidden="false" customHeight="false" outlineLevel="0" collapsed="false">
      <c r="A76" s="22" t="n">
        <v>64</v>
      </c>
      <c r="B76" s="14" t="n">
        <v>4125000000</v>
      </c>
      <c r="C76" s="12" t="s">
        <v>234</v>
      </c>
      <c r="D76" s="12"/>
      <c r="E76" s="23" t="n">
        <f aca="false">IF(B76="","",MAX(0,B76-$B$6))</f>
        <v>3692789000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6370000</v>
      </c>
      <c r="C5" s="26" t="n">
        <v>705800</v>
      </c>
      <c r="D5" s="26" t="n">
        <v>4370000</v>
      </c>
      <c r="E5" s="26" t="n">
        <v>14390000</v>
      </c>
      <c r="F5" s="26" t="n">
        <v>217</v>
      </c>
      <c r="G5" s="26" t="n">
        <v>715</v>
      </c>
      <c r="H5" s="26" t="n">
        <v>279</v>
      </c>
    </row>
    <row r="6" customFormat="false" ht="15" hidden="false" customHeight="false" outlineLevel="0" collapsed="false">
      <c r="A6" s="16" t="s">
        <v>316</v>
      </c>
      <c r="B6" s="27" t="n">
        <f aca="false">SUMIFS(B13:B55,$I$13:$I$55,"Yes",$J$13:$J$55,"No")</f>
        <v>16850000</v>
      </c>
      <c r="C6" s="27" t="n">
        <f aca="false">SUMIFS(C13:C55,$I$13:$I$55,"Yes",$J$13:$J$55,"No")</f>
        <v>4000000</v>
      </c>
      <c r="D6" s="27" t="n">
        <f aca="false">SUMIFS(D13:D55,$I$13:$I$55,"Yes",$J$13:$J$55,"No")</f>
        <v>3136000</v>
      </c>
      <c r="E6" s="27" t="n">
        <f aca="false">SUMIFS(E13:E55,$I$13:$I$55,"Yes",$J$13:$J$55,"No")</f>
        <v>2736000</v>
      </c>
      <c r="F6" s="27" t="n">
        <f aca="false">SUMIFS(F13:F55,$I$13:$I$55,"Yes",$J$13:$J$55,"No")</f>
        <v>0</v>
      </c>
      <c r="G6" s="27" t="n">
        <f aca="false">SUMIFS(G13:G55,$I$13:$I$55,"Yes",$J$13:$J$55,"No")</f>
        <v>100</v>
      </c>
      <c r="H6" s="27" t="n">
        <f aca="false">SUMIFS(H13:H55,$I$13:$I$55,"Yes",$J$13:$J$55,"No")</f>
        <v>190</v>
      </c>
    </row>
    <row r="7" customFormat="false" ht="15" hidden="false" customHeight="false" outlineLevel="0" collapsed="false">
      <c r="A7" s="16" t="s">
        <v>317</v>
      </c>
      <c r="B7" s="27" t="n">
        <f aca="false">B5+B6</f>
        <v>23220000</v>
      </c>
      <c r="C7" s="27" t="n">
        <f aca="false">C5+C6</f>
        <v>4705800</v>
      </c>
      <c r="D7" s="27" t="n">
        <f aca="false">D5+D6</f>
        <v>7506000</v>
      </c>
      <c r="E7" s="27" t="n">
        <f aca="false">E5+E6</f>
        <v>17126000</v>
      </c>
      <c r="F7" s="27" t="n">
        <f aca="false">F5+F6</f>
        <v>217</v>
      </c>
      <c r="G7" s="27" t="n">
        <f aca="false">G5+G6</f>
        <v>815</v>
      </c>
      <c r="H7" s="27" t="n">
        <f aca="false">H5+H6</f>
        <v>469</v>
      </c>
    </row>
    <row r="8" customFormat="false" ht="15" hidden="false" customHeight="false" outlineLevel="0" collapsed="false">
      <c r="A8" s="16" t="s">
        <v>318</v>
      </c>
      <c r="B8" s="27" t="n">
        <f aca="false">SUMIF($J$59:$J$77,"Planned",B59:B77)</f>
        <v>0</v>
      </c>
      <c r="C8" s="27" t="n">
        <f aca="false">SUMIF($J$59:$J$77,"Planned",C59:C77)</f>
        <v>1710000</v>
      </c>
      <c r="D8" s="27" t="n">
        <f aca="false">SUMIF($J$59:$J$77,"Planned",D59:D77)</f>
        <v>2640000</v>
      </c>
      <c r="E8" s="27" t="n">
        <f aca="false">SUMIF($J$59:$J$77,"Planned",E59:E77)</f>
        <v>1710000</v>
      </c>
      <c r="F8" s="27" t="n">
        <f aca="false">SUMIF($J$59:$J$77,"Planned",F59:F77)</f>
        <v>0</v>
      </c>
      <c r="G8" s="27" t="n">
        <f aca="false">SUMIF($J$59:$J$77,"Planned",G59:G77)</f>
        <v>0</v>
      </c>
      <c r="H8" s="27" t="n">
        <f aca="false">SUMIF($J$59:$J$77,"Planned",H59:H77)</f>
        <v>0</v>
      </c>
    </row>
    <row r="9" customFormat="false" ht="15" hidden="false" customHeight="false" outlineLevel="0" collapsed="false">
      <c r="A9" s="16" t="s">
        <v>319</v>
      </c>
      <c r="B9" s="28" t="n">
        <f aca="false">B7-B8</f>
        <v>23220000</v>
      </c>
      <c r="C9" s="28" t="n">
        <f aca="false">C7-C8</f>
        <v>2995800</v>
      </c>
      <c r="D9" s="28" t="n">
        <f aca="false">D7-D8</f>
        <v>4866000</v>
      </c>
      <c r="E9" s="28" t="n">
        <f aca="false">E7-E8</f>
        <v>15416000</v>
      </c>
      <c r="F9" s="28" t="n">
        <f aca="false">F7-F8</f>
        <v>217</v>
      </c>
      <c r="G9" s="28" t="n">
        <f aca="false">G7-G8</f>
        <v>815</v>
      </c>
      <c r="H9" s="28" t="n">
        <f aca="false">H7-H8</f>
        <v>469</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346</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347</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348</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349</v>
      </c>
      <c r="B34" s="30" t="n">
        <v>0</v>
      </c>
      <c r="C34" s="30" t="n">
        <v>3000000</v>
      </c>
      <c r="D34" s="30" t="n">
        <v>3000000</v>
      </c>
      <c r="E34" s="30" t="n">
        <v>2600000</v>
      </c>
      <c r="F34" s="30" t="n">
        <v>0</v>
      </c>
      <c r="G34" s="30" t="n">
        <v>0</v>
      </c>
      <c r="H34" s="30" t="n">
        <v>0</v>
      </c>
      <c r="I34" s="11" t="s">
        <v>249</v>
      </c>
      <c r="J34" s="11" t="s">
        <v>253</v>
      </c>
      <c r="K34" s="15" t="s">
        <v>350</v>
      </c>
    </row>
    <row r="35" customFormat="false" ht="15" hidden="false" customHeight="false" outlineLevel="0" collapsed="false">
      <c r="A35" s="12" t="s">
        <v>351</v>
      </c>
      <c r="B35" s="30" t="n">
        <v>0</v>
      </c>
      <c r="C35" s="30" t="n">
        <v>900000</v>
      </c>
      <c r="D35" s="30" t="n">
        <v>1300000</v>
      </c>
      <c r="E35" s="30" t="n">
        <v>1900000</v>
      </c>
      <c r="F35" s="30" t="n">
        <v>0</v>
      </c>
      <c r="G35" s="30" t="n">
        <v>0</v>
      </c>
      <c r="H35" s="30" t="n">
        <v>0</v>
      </c>
      <c r="I35" s="11" t="s">
        <v>253</v>
      </c>
      <c r="J35" s="11" t="s">
        <v>253</v>
      </c>
      <c r="K35" s="15" t="s">
        <v>352</v>
      </c>
    </row>
    <row r="36" customFormat="false" ht="15" hidden="false" customHeight="false" outlineLevel="0" collapsed="false">
      <c r="A36" s="12" t="s">
        <v>353</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354</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355</v>
      </c>
      <c r="B38" s="30" t="n">
        <v>900000</v>
      </c>
      <c r="C38" s="30" t="n">
        <v>0</v>
      </c>
      <c r="D38" s="30" t="n">
        <v>0</v>
      </c>
      <c r="E38" s="30" t="n">
        <v>0</v>
      </c>
      <c r="F38" s="30" t="n">
        <v>0</v>
      </c>
      <c r="G38" s="30" t="n">
        <v>0</v>
      </c>
      <c r="H38" s="30" t="n">
        <v>0</v>
      </c>
      <c r="I38" s="11" t="s">
        <v>253</v>
      </c>
      <c r="J38" s="11" t="s">
        <v>253</v>
      </c>
      <c r="K38" s="15" t="s">
        <v>356</v>
      </c>
    </row>
    <row r="39" customFormat="false" ht="15" hidden="false" customHeight="false" outlineLevel="0" collapsed="false">
      <c r="A39" s="12" t="s">
        <v>357</v>
      </c>
      <c r="B39" s="30" t="n">
        <v>0</v>
      </c>
      <c r="C39" s="30" t="n">
        <v>0</v>
      </c>
      <c r="D39" s="30" t="n">
        <v>0</v>
      </c>
      <c r="E39" s="30" t="n">
        <v>0</v>
      </c>
      <c r="F39" s="30" t="n">
        <v>0</v>
      </c>
      <c r="G39" s="30" t="n">
        <v>30</v>
      </c>
      <c r="H39" s="30" t="n">
        <v>90</v>
      </c>
      <c r="I39" s="11" t="s">
        <v>253</v>
      </c>
      <c r="J39" s="11" t="s">
        <v>253</v>
      </c>
      <c r="K39" s="15" t="s">
        <v>356</v>
      </c>
    </row>
    <row r="40" customFormat="false" ht="15" hidden="false" customHeight="false" outlineLevel="0" collapsed="false">
      <c r="A40" s="12" t="s">
        <v>358</v>
      </c>
      <c r="B40" s="30" t="n">
        <v>3300000</v>
      </c>
      <c r="C40" s="30" t="n">
        <v>0</v>
      </c>
      <c r="D40" s="30" t="n">
        <v>0</v>
      </c>
      <c r="E40" s="30" t="n">
        <v>0</v>
      </c>
      <c r="F40" s="30" t="n">
        <v>0</v>
      </c>
      <c r="G40" s="30" t="n">
        <v>0</v>
      </c>
      <c r="H40" s="30" t="n">
        <v>0</v>
      </c>
      <c r="I40" s="11" t="s">
        <v>249</v>
      </c>
      <c r="J40" s="11" t="s">
        <v>249</v>
      </c>
      <c r="K40" s="15" t="s">
        <v>359</v>
      </c>
    </row>
    <row r="41" customFormat="false" ht="15" hidden="false" customHeight="false" outlineLevel="0" collapsed="false">
      <c r="A41" s="12" t="s">
        <v>360</v>
      </c>
      <c r="B41" s="30" t="n">
        <v>3300000</v>
      </c>
      <c r="C41" s="30" t="n">
        <v>0</v>
      </c>
      <c r="D41" s="30" t="n">
        <v>0</v>
      </c>
      <c r="E41" s="30" t="n">
        <v>0</v>
      </c>
      <c r="F41" s="30" t="n">
        <v>0</v>
      </c>
      <c r="G41" s="30" t="n">
        <v>0</v>
      </c>
      <c r="H41" s="30" t="n">
        <v>0</v>
      </c>
      <c r="I41" s="11" t="s">
        <v>249</v>
      </c>
      <c r="J41" s="11" t="s">
        <v>253</v>
      </c>
      <c r="K41" s="15" t="s">
        <v>361</v>
      </c>
    </row>
    <row r="42" customFormat="false" ht="15" hidden="false" customHeight="false" outlineLevel="0" collapsed="false">
      <c r="A42" s="12" t="s">
        <v>362</v>
      </c>
      <c r="B42" s="30" t="n">
        <v>0</v>
      </c>
      <c r="C42" s="30" t="n">
        <v>250000</v>
      </c>
      <c r="D42" s="30" t="n">
        <v>0</v>
      </c>
      <c r="E42" s="30" t="n">
        <v>0</v>
      </c>
      <c r="F42" s="30" t="n">
        <v>0</v>
      </c>
      <c r="G42" s="30" t="n">
        <v>0</v>
      </c>
      <c r="H42" s="30" t="n">
        <v>0</v>
      </c>
      <c r="I42" s="11" t="s">
        <v>249</v>
      </c>
      <c r="J42" s="11" t="s">
        <v>253</v>
      </c>
      <c r="K42" s="15" t="s">
        <v>363</v>
      </c>
    </row>
    <row r="43" customFormat="false" ht="15" hidden="false" customHeight="false" outlineLevel="0" collapsed="false">
      <c r="A43" s="12" t="s">
        <v>364</v>
      </c>
      <c r="B43" s="30" t="n">
        <v>0</v>
      </c>
      <c r="C43" s="30" t="n">
        <v>0</v>
      </c>
      <c r="D43" s="30" t="n">
        <v>0</v>
      </c>
      <c r="E43" s="30" t="n">
        <v>0</v>
      </c>
      <c r="F43" s="30"/>
      <c r="G43" s="30"/>
      <c r="H43" s="30"/>
      <c r="I43" s="11" t="s">
        <v>249</v>
      </c>
      <c r="J43" s="11" t="s">
        <v>253</v>
      </c>
      <c r="K43" s="15" t="s">
        <v>365</v>
      </c>
    </row>
    <row r="44" customFormat="false" ht="15" hidden="false" customHeight="false" outlineLevel="0" collapsed="false">
      <c r="A44" s="12" t="s">
        <v>366</v>
      </c>
      <c r="B44" s="30" t="n">
        <v>0</v>
      </c>
      <c r="C44" s="30" t="n">
        <v>0</v>
      </c>
      <c r="D44" s="30" t="n">
        <v>136000</v>
      </c>
      <c r="E44" s="30" t="n">
        <v>136000</v>
      </c>
      <c r="F44" s="30" t="n">
        <v>0</v>
      </c>
      <c r="G44" s="30" t="n">
        <v>0</v>
      </c>
      <c r="H44" s="30" t="n">
        <v>0</v>
      </c>
      <c r="I44" s="11" t="s">
        <v>249</v>
      </c>
      <c r="J44" s="11" t="s">
        <v>253</v>
      </c>
      <c r="K44" s="15" t="s">
        <v>367</v>
      </c>
    </row>
    <row r="45" customFormat="false" ht="15" hidden="false" customHeight="false" outlineLevel="0" collapsed="false">
      <c r="A45" s="12" t="s">
        <v>368</v>
      </c>
      <c r="B45" s="30" t="n">
        <v>0</v>
      </c>
      <c r="C45" s="30" t="n">
        <v>0</v>
      </c>
      <c r="D45" s="30" t="n">
        <v>0</v>
      </c>
      <c r="E45" s="30" t="n">
        <v>0</v>
      </c>
      <c r="F45" s="30" t="n">
        <v>0</v>
      </c>
      <c r="G45" s="30" t="n">
        <v>0</v>
      </c>
      <c r="H45" s="30" t="n">
        <v>0</v>
      </c>
      <c r="I45" s="11" t="s">
        <v>253</v>
      </c>
      <c r="J45" s="11" t="s">
        <v>253</v>
      </c>
      <c r="K45" s="15" t="s">
        <v>369</v>
      </c>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5" customFormat="false" ht="15" hidden="false" customHeight="false" outlineLevel="0" collapsed="false">
      <c r="A55" s="12"/>
      <c r="B55" s="30"/>
      <c r="C55" s="30"/>
      <c r="D55" s="30"/>
      <c r="E55" s="30"/>
      <c r="F55" s="30"/>
      <c r="G55" s="30"/>
      <c r="H55" s="30"/>
      <c r="I55" s="11"/>
      <c r="J55" s="11"/>
      <c r="K55" s="12"/>
    </row>
    <row r="57" customFormat="false" ht="15" hidden="false" customHeight="false" outlineLevel="0" collapsed="false">
      <c r="A57" s="29" t="s">
        <v>370</v>
      </c>
    </row>
    <row r="58" customFormat="false" ht="26.85" hidden="false" customHeight="false" outlineLevel="0" collapsed="false">
      <c r="A58" s="3" t="s">
        <v>371</v>
      </c>
      <c r="B58" s="3" t="s">
        <v>308</v>
      </c>
      <c r="C58" s="3" t="s">
        <v>309</v>
      </c>
      <c r="D58" s="3" t="s">
        <v>310</v>
      </c>
      <c r="E58" s="3" t="s">
        <v>311</v>
      </c>
      <c r="F58" s="3" t="s">
        <v>312</v>
      </c>
      <c r="G58" s="3" t="s">
        <v>313</v>
      </c>
      <c r="H58" s="3" t="s">
        <v>314</v>
      </c>
      <c r="I58" s="3" t="s">
        <v>10</v>
      </c>
      <c r="J58" s="3" t="s">
        <v>12</v>
      </c>
      <c r="K58" s="3" t="s">
        <v>13</v>
      </c>
    </row>
    <row r="59" customFormat="false" ht="15" hidden="false" customHeight="false" outlineLevel="0" collapsed="false">
      <c r="A59" s="12" t="s">
        <v>372</v>
      </c>
      <c r="B59" s="30" t="n">
        <v>1837500</v>
      </c>
      <c r="C59" s="30" t="n">
        <v>0</v>
      </c>
      <c r="D59" s="30" t="n">
        <v>0</v>
      </c>
      <c r="E59" s="30" t="n">
        <v>0</v>
      </c>
      <c r="F59" s="30" t="n">
        <v>2</v>
      </c>
      <c r="G59" s="30" t="n">
        <v>1</v>
      </c>
      <c r="H59" s="30" t="n">
        <v>183</v>
      </c>
      <c r="I59" s="30" t="n">
        <v>0</v>
      </c>
      <c r="J59" s="11" t="s">
        <v>373</v>
      </c>
      <c r="K59" s="15" t="s">
        <v>374</v>
      </c>
    </row>
    <row r="60" customFormat="false" ht="15" hidden="false" customHeight="false" outlineLevel="0" collapsed="false">
      <c r="A60" s="12" t="s">
        <v>375</v>
      </c>
      <c r="B60" s="30" t="n">
        <v>0</v>
      </c>
      <c r="C60" s="30" t="n">
        <v>359800</v>
      </c>
      <c r="D60" s="30" t="n">
        <v>0</v>
      </c>
      <c r="E60" s="30" t="n">
        <v>0</v>
      </c>
      <c r="F60" s="30" t="n">
        <v>0</v>
      </c>
      <c r="G60" s="30" t="n">
        <v>0</v>
      </c>
      <c r="H60" s="30" t="n">
        <v>0</v>
      </c>
      <c r="I60" s="30" t="n">
        <v>0</v>
      </c>
      <c r="J60" s="11" t="s">
        <v>373</v>
      </c>
      <c r="K60" s="15"/>
    </row>
    <row r="61" customFormat="false" ht="15" hidden="false" customHeight="false" outlineLevel="0" collapsed="false">
      <c r="A61" s="12" t="s">
        <v>376</v>
      </c>
      <c r="B61" s="26"/>
      <c r="C61" s="30" t="n">
        <v>0</v>
      </c>
      <c r="D61" s="30" t="n">
        <v>0</v>
      </c>
      <c r="E61" s="30" t="n">
        <v>0</v>
      </c>
      <c r="F61" s="26"/>
      <c r="G61" s="26"/>
      <c r="H61" s="26"/>
      <c r="I61" s="30" t="n">
        <v>3000000</v>
      </c>
      <c r="J61" s="11" t="s">
        <v>377</v>
      </c>
      <c r="K61" s="15" t="s">
        <v>378</v>
      </c>
    </row>
    <row r="62" customFormat="false" ht="15" hidden="false" customHeight="false" outlineLevel="0" collapsed="false">
      <c r="A62" s="12" t="s">
        <v>379</v>
      </c>
      <c r="B62" s="26"/>
      <c r="C62" s="30" t="n">
        <v>0</v>
      </c>
      <c r="D62" s="30" t="n">
        <v>0</v>
      </c>
      <c r="E62" s="30" t="n">
        <v>0</v>
      </c>
      <c r="F62" s="26"/>
      <c r="G62" s="26"/>
      <c r="H62" s="26"/>
      <c r="I62" s="30" t="n">
        <v>3000000</v>
      </c>
      <c r="J62" s="11" t="s">
        <v>377</v>
      </c>
      <c r="K62" s="15" t="s">
        <v>378</v>
      </c>
    </row>
    <row r="63" customFormat="false" ht="15" hidden="false" customHeight="false" outlineLevel="0" collapsed="false">
      <c r="A63" s="12" t="s">
        <v>380</v>
      </c>
      <c r="B63" s="26"/>
      <c r="C63" s="30" t="n">
        <v>0</v>
      </c>
      <c r="D63" s="30" t="n">
        <v>0</v>
      </c>
      <c r="E63" s="30" t="n">
        <v>0</v>
      </c>
      <c r="F63" s="26"/>
      <c r="G63" s="26"/>
      <c r="H63" s="26"/>
      <c r="I63" s="30" t="n">
        <v>3000000</v>
      </c>
      <c r="J63" s="11" t="s">
        <v>377</v>
      </c>
      <c r="K63" s="15" t="s">
        <v>378</v>
      </c>
    </row>
    <row r="64" customFormat="false" ht="15" hidden="false" customHeight="false" outlineLevel="0" collapsed="false">
      <c r="A64" s="12" t="s">
        <v>381</v>
      </c>
      <c r="B64" s="26"/>
      <c r="C64" s="30" t="n">
        <v>0</v>
      </c>
      <c r="D64" s="30" t="n">
        <v>0</v>
      </c>
      <c r="E64" s="30" t="n">
        <v>0</v>
      </c>
      <c r="F64" s="26"/>
      <c r="G64" s="26"/>
      <c r="H64" s="26"/>
      <c r="I64" s="30" t="n">
        <v>3000000</v>
      </c>
      <c r="J64" s="11" t="s">
        <v>377</v>
      </c>
      <c r="K64" s="15" t="s">
        <v>378</v>
      </c>
    </row>
    <row r="65" customFormat="false" ht="15" hidden="false" customHeight="false" outlineLevel="0" collapsed="false">
      <c r="A65" s="12" t="s">
        <v>382</v>
      </c>
      <c r="B65" s="26"/>
      <c r="C65" s="30" t="n">
        <v>0</v>
      </c>
      <c r="D65" s="30" t="n">
        <v>0</v>
      </c>
      <c r="E65" s="30" t="n">
        <v>0</v>
      </c>
      <c r="F65" s="30" t="n">
        <v>0</v>
      </c>
      <c r="G65" s="30" t="n">
        <v>0</v>
      </c>
      <c r="H65" s="30" t="n">
        <v>0</v>
      </c>
      <c r="I65" s="30" t="n">
        <v>17000000</v>
      </c>
      <c r="J65" s="11" t="s">
        <v>377</v>
      </c>
      <c r="K65" s="15" t="s">
        <v>378</v>
      </c>
    </row>
    <row r="66" customFormat="false" ht="15" hidden="false" customHeight="false" outlineLevel="0" collapsed="false">
      <c r="A66" s="12" t="s">
        <v>383</v>
      </c>
      <c r="B66" s="30" t="n">
        <v>0</v>
      </c>
      <c r="C66" s="30" t="n">
        <v>1710000</v>
      </c>
      <c r="D66" s="30" t="n">
        <v>2640000</v>
      </c>
      <c r="E66" s="30" t="n">
        <v>1710000</v>
      </c>
      <c r="F66" s="30" t="n">
        <v>0</v>
      </c>
      <c r="G66" s="30" t="n">
        <v>0</v>
      </c>
      <c r="H66" s="30" t="n">
        <v>0</v>
      </c>
      <c r="I66" s="30" t="n">
        <v>17000000</v>
      </c>
      <c r="J66" s="11" t="s">
        <v>377</v>
      </c>
      <c r="K66" s="15" t="s">
        <v>384</v>
      </c>
    </row>
    <row r="67" customFormat="false" ht="15" hidden="false" customHeight="false" outlineLevel="0" collapsed="false">
      <c r="A67" s="12" t="s">
        <v>385</v>
      </c>
      <c r="B67" s="30" t="n">
        <v>0</v>
      </c>
      <c r="C67" s="26"/>
      <c r="D67" s="26"/>
      <c r="E67" s="26"/>
      <c r="F67" s="30" t="n">
        <v>0</v>
      </c>
      <c r="G67" s="30" t="n">
        <v>0</v>
      </c>
      <c r="H67" s="30" t="n">
        <v>0</v>
      </c>
      <c r="I67" s="30" t="n">
        <v>17000000</v>
      </c>
      <c r="J67" s="11" t="s">
        <v>377</v>
      </c>
      <c r="K67" s="15" t="s">
        <v>378</v>
      </c>
    </row>
    <row r="68" customFormat="false" ht="15" hidden="false" customHeight="false" outlineLevel="0" collapsed="false">
      <c r="A68" s="12" t="s">
        <v>386</v>
      </c>
      <c r="B68" s="30" t="n">
        <v>0</v>
      </c>
      <c r="C68" s="26"/>
      <c r="D68" s="26"/>
      <c r="E68" s="26"/>
      <c r="F68" s="30" t="n">
        <v>0</v>
      </c>
      <c r="G68" s="30" t="n">
        <v>0</v>
      </c>
      <c r="H68" s="30" t="n">
        <v>0</v>
      </c>
      <c r="I68" s="30" t="n">
        <v>17000000</v>
      </c>
      <c r="J68" s="11" t="s">
        <v>387</v>
      </c>
      <c r="K68" s="15" t="s">
        <v>378</v>
      </c>
    </row>
    <row r="69" customFormat="false" ht="15" hidden="false" customHeight="false" outlineLevel="0" collapsed="false">
      <c r="A69" s="12" t="s">
        <v>388</v>
      </c>
      <c r="B69" s="30" t="n">
        <v>0</v>
      </c>
      <c r="C69" s="26"/>
      <c r="D69" s="26"/>
      <c r="E69" s="26"/>
      <c r="F69" s="30" t="n">
        <v>0</v>
      </c>
      <c r="G69" s="30" t="n">
        <v>0</v>
      </c>
      <c r="H69" s="30" t="n">
        <v>0</v>
      </c>
      <c r="I69" s="30" t="n">
        <v>17000000</v>
      </c>
      <c r="J69" s="11" t="s">
        <v>387</v>
      </c>
      <c r="K69" s="15" t="s">
        <v>378</v>
      </c>
    </row>
    <row r="70" customFormat="false" ht="15" hidden="false" customHeight="false" outlineLevel="0" collapsed="false">
      <c r="A70" s="12" t="s">
        <v>389</v>
      </c>
      <c r="B70" s="30" t="n">
        <v>0</v>
      </c>
      <c r="C70" s="26"/>
      <c r="D70" s="26"/>
      <c r="E70" s="26"/>
      <c r="F70" s="30" t="n">
        <v>0</v>
      </c>
      <c r="G70" s="30" t="n">
        <v>0</v>
      </c>
      <c r="H70" s="30" t="n">
        <v>0</v>
      </c>
      <c r="I70" s="30" t="n">
        <v>17000000</v>
      </c>
      <c r="J70" s="11" t="s">
        <v>387</v>
      </c>
      <c r="K70" s="15" t="s">
        <v>378</v>
      </c>
    </row>
    <row r="71" customFormat="false" ht="15" hidden="false" customHeight="false" outlineLevel="0" collapsed="false">
      <c r="A71" s="12" t="s">
        <v>390</v>
      </c>
      <c r="B71" s="30" t="n">
        <v>13000000</v>
      </c>
      <c r="C71" s="30" t="n">
        <v>0</v>
      </c>
      <c r="D71" s="30" t="n">
        <v>0</v>
      </c>
      <c r="E71" s="30" t="n">
        <v>0</v>
      </c>
      <c r="F71" s="26"/>
      <c r="G71" s="26"/>
      <c r="H71" s="26"/>
      <c r="I71" s="30" t="n">
        <v>8000000</v>
      </c>
      <c r="J71" s="11" t="s">
        <v>387</v>
      </c>
      <c r="K71" s="15" t="s">
        <v>391</v>
      </c>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7" customFormat="false" ht="15" hidden="false" customHeight="false" outlineLevel="0" collapsed="false">
      <c r="A77" s="12"/>
      <c r="B77" s="30"/>
      <c r="C77" s="30"/>
      <c r="D77" s="30"/>
      <c r="E77" s="30"/>
      <c r="F77" s="30"/>
      <c r="G77" s="30"/>
      <c r="H77" s="30"/>
      <c r="I77" s="30"/>
      <c r="J77" s="11"/>
      <c r="K77" s="12"/>
    </row>
    <row r="79" customFormat="false" ht="15" hidden="false" customHeight="false" outlineLevel="0" collapsed="false">
      <c r="A79" s="16" t="s">
        <v>392</v>
      </c>
      <c r="I79" s="20" t="n">
        <f aca="false">SUMIF(J59:J77,"Planned",I59:I77)</f>
        <v>63000000</v>
      </c>
    </row>
  </sheetData>
  <conditionalFormatting sqref="B9:H9">
    <cfRule type="cellIs" priority="2" operator="lessThan" aboveAverage="0" equalAverage="0" bottom="0" percent="0" rank="0" text="" dxfId="12">
      <formula>0</formula>
    </cfRule>
  </conditionalFormatting>
  <conditionalFormatting sqref="J59:J77">
    <cfRule type="cellIs" priority="3" operator="equal" aboveAverage="0" equalAverage="0" bottom="0" percent="0" rank="0" text="" dxfId="8">
      <formula>"Done"</formula>
    </cfRule>
  </conditionalFormatting>
  <conditionalFormatting sqref="J13:J55">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5" type="list">
      <formula1>"Yes,No"</formula1>
      <formula2>0</formula2>
    </dataValidation>
    <dataValidation allowBlank="true" errorStyle="stop" operator="between" showDropDown="false" showErrorMessage="false" showInputMessage="false" sqref="J59:J77"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393</v>
      </c>
    </row>
    <row r="2" customFormat="false" ht="15" hidden="false" customHeight="false" outlineLevel="0" collapsed="false">
      <c r="A2" s="2" t="s">
        <v>394</v>
      </c>
    </row>
    <row r="4" customFormat="false" ht="26.85" hidden="false" customHeight="false" outlineLevel="0" collapsed="false">
      <c r="A4" s="3" t="s">
        <v>238</v>
      </c>
      <c r="B4" s="3" t="s">
        <v>237</v>
      </c>
      <c r="C4" s="3" t="s">
        <v>308</v>
      </c>
      <c r="D4" s="3" t="s">
        <v>395</v>
      </c>
      <c r="E4" s="3" t="s">
        <v>396</v>
      </c>
      <c r="F4" s="3" t="s">
        <v>397</v>
      </c>
      <c r="G4" s="3" t="s">
        <v>398</v>
      </c>
      <c r="H4" s="3" t="s">
        <v>399</v>
      </c>
      <c r="I4" s="3" t="s">
        <v>400</v>
      </c>
      <c r="J4" s="3" t="s">
        <v>401</v>
      </c>
      <c r="K4" s="3" t="s">
        <v>402</v>
      </c>
      <c r="L4" s="3" t="s">
        <v>403</v>
      </c>
    </row>
    <row r="5" customFormat="false" ht="15" hidden="false" customHeight="false" outlineLevel="0" collapsed="false">
      <c r="A5" s="31" t="s">
        <v>404</v>
      </c>
    </row>
    <row r="6" customFormat="false" ht="15" hidden="false" customHeight="false" outlineLevel="0" collapsed="false">
      <c r="A6" s="13" t="s">
        <v>405</v>
      </c>
      <c r="B6" s="13" t="s">
        <v>406</v>
      </c>
      <c r="C6" s="23" t="n">
        <v>25000</v>
      </c>
      <c r="D6" s="15" t="s">
        <v>407</v>
      </c>
      <c r="E6" s="32" t="s">
        <v>373</v>
      </c>
      <c r="F6" s="32"/>
      <c r="G6" s="32"/>
      <c r="H6" s="32"/>
      <c r="I6" s="32"/>
      <c r="J6" s="32"/>
      <c r="K6" s="32"/>
      <c r="L6" s="32"/>
    </row>
    <row r="7" customFormat="false" ht="15" hidden="false" customHeight="false" outlineLevel="0" collapsed="false">
      <c r="A7" s="13" t="s">
        <v>408</v>
      </c>
      <c r="B7" s="13" t="s">
        <v>406</v>
      </c>
      <c r="C7" s="23" t="n">
        <v>25000</v>
      </c>
      <c r="D7" s="15" t="s">
        <v>409</v>
      </c>
      <c r="E7" s="32" t="s">
        <v>373</v>
      </c>
      <c r="F7" s="32"/>
      <c r="G7" s="32"/>
      <c r="H7" s="32"/>
      <c r="I7" s="32"/>
      <c r="J7" s="32"/>
      <c r="K7" s="32"/>
      <c r="L7" s="32"/>
    </row>
    <row r="8" customFormat="false" ht="15" hidden="false" customHeight="false" outlineLevel="0" collapsed="false">
      <c r="A8" s="13" t="s">
        <v>410</v>
      </c>
      <c r="B8" s="13" t="s">
        <v>406</v>
      </c>
      <c r="C8" s="23" t="n">
        <v>50000</v>
      </c>
      <c r="D8" s="15" t="s">
        <v>411</v>
      </c>
      <c r="E8" s="32" t="s">
        <v>373</v>
      </c>
      <c r="F8" s="32"/>
      <c r="G8" s="32"/>
      <c r="H8" s="32"/>
      <c r="I8" s="32"/>
      <c r="J8" s="32"/>
      <c r="K8" s="32"/>
      <c r="L8" s="32"/>
    </row>
    <row r="9" customFormat="false" ht="15" hidden="false" customHeight="false" outlineLevel="0" collapsed="false">
      <c r="A9" s="13" t="s">
        <v>412</v>
      </c>
      <c r="B9" s="13" t="s">
        <v>406</v>
      </c>
      <c r="C9" s="23" t="n">
        <v>50000</v>
      </c>
      <c r="D9" s="15" t="s">
        <v>413</v>
      </c>
      <c r="E9" s="32" t="s">
        <v>373</v>
      </c>
      <c r="F9" s="32"/>
      <c r="G9" s="32"/>
      <c r="H9" s="32"/>
      <c r="I9" s="32"/>
      <c r="J9" s="32"/>
      <c r="K9" s="32"/>
      <c r="L9" s="32"/>
    </row>
    <row r="10" customFormat="false" ht="15" hidden="false" customHeight="false" outlineLevel="0" collapsed="false">
      <c r="A10" s="13" t="s">
        <v>414</v>
      </c>
      <c r="B10" s="13" t="s">
        <v>406</v>
      </c>
      <c r="C10" s="23" t="n">
        <v>50000</v>
      </c>
      <c r="D10" s="15" t="s">
        <v>411</v>
      </c>
      <c r="E10" s="32" t="s">
        <v>373</v>
      </c>
      <c r="F10" s="32"/>
      <c r="G10" s="32"/>
      <c r="H10" s="32"/>
      <c r="I10" s="32"/>
      <c r="J10" s="32"/>
      <c r="K10" s="32"/>
      <c r="L10" s="32"/>
    </row>
    <row r="11" customFormat="false" ht="15" hidden="false" customHeight="false" outlineLevel="0" collapsed="false">
      <c r="A11" s="13" t="s">
        <v>415</v>
      </c>
      <c r="B11" s="13" t="s">
        <v>406</v>
      </c>
      <c r="C11" s="23" t="n">
        <v>25000</v>
      </c>
      <c r="D11" s="15" t="s">
        <v>411</v>
      </c>
      <c r="E11" s="32" t="s">
        <v>373</v>
      </c>
      <c r="F11" s="32"/>
      <c r="G11" s="32"/>
      <c r="H11" s="32"/>
      <c r="I11" s="32"/>
      <c r="J11" s="32"/>
      <c r="K11" s="32"/>
      <c r="L11" s="32"/>
    </row>
    <row r="12" customFormat="false" ht="15" hidden="false" customHeight="false" outlineLevel="0" collapsed="false">
      <c r="A12" s="13" t="s">
        <v>416</v>
      </c>
      <c r="B12" s="13" t="s">
        <v>406</v>
      </c>
      <c r="C12" s="23" t="n">
        <v>25000</v>
      </c>
      <c r="D12" s="15" t="s">
        <v>417</v>
      </c>
      <c r="E12" s="32" t="s">
        <v>373</v>
      </c>
      <c r="F12" s="32"/>
      <c r="G12" s="32"/>
      <c r="H12" s="32"/>
      <c r="I12" s="32"/>
      <c r="J12" s="32"/>
      <c r="K12" s="32"/>
      <c r="L12" s="32"/>
    </row>
    <row r="13" customFormat="false" ht="15" hidden="false" customHeight="false" outlineLevel="0" collapsed="false">
      <c r="A13" s="13" t="s">
        <v>418</v>
      </c>
      <c r="B13" s="13" t="s">
        <v>406</v>
      </c>
      <c r="C13" s="23" t="n">
        <v>25000</v>
      </c>
      <c r="D13" s="15" t="s">
        <v>411</v>
      </c>
      <c r="E13" s="32" t="s">
        <v>373</v>
      </c>
      <c r="F13" s="32"/>
      <c r="G13" s="32"/>
      <c r="H13" s="32"/>
      <c r="I13" s="32"/>
      <c r="J13" s="32"/>
      <c r="K13" s="32"/>
      <c r="L13" s="32"/>
    </row>
    <row r="14" customFormat="false" ht="15" hidden="false" customHeight="false" outlineLevel="0" collapsed="false">
      <c r="A14" s="13" t="s">
        <v>419</v>
      </c>
      <c r="B14" s="13" t="s">
        <v>406</v>
      </c>
      <c r="C14" s="23" t="n">
        <v>50000</v>
      </c>
      <c r="D14" s="15" t="s">
        <v>420</v>
      </c>
      <c r="E14" s="32" t="s">
        <v>373</v>
      </c>
      <c r="F14" s="32"/>
      <c r="G14" s="32"/>
      <c r="H14" s="32"/>
      <c r="I14" s="32"/>
      <c r="J14" s="32"/>
      <c r="K14" s="32"/>
      <c r="L14" s="32"/>
    </row>
    <row r="15" customFormat="false" ht="15" hidden="false" customHeight="false" outlineLevel="0" collapsed="false">
      <c r="A15" s="13" t="s">
        <v>421</v>
      </c>
      <c r="B15" s="13" t="s">
        <v>406</v>
      </c>
      <c r="C15" s="23" t="n">
        <v>50000</v>
      </c>
      <c r="D15" s="15" t="s">
        <v>411</v>
      </c>
      <c r="E15" s="32" t="s">
        <v>373</v>
      </c>
      <c r="F15" s="32"/>
      <c r="G15" s="32"/>
      <c r="H15" s="32"/>
      <c r="I15" s="32"/>
      <c r="J15" s="32"/>
      <c r="K15" s="32"/>
      <c r="L15" s="32"/>
    </row>
    <row r="16" customFormat="false" ht="15" hidden="false" customHeight="false" outlineLevel="0" collapsed="false">
      <c r="A16" s="13" t="s">
        <v>422</v>
      </c>
      <c r="B16" s="13" t="s">
        <v>406</v>
      </c>
      <c r="C16" s="23" t="n">
        <v>1000000</v>
      </c>
      <c r="D16" s="15" t="s">
        <v>423</v>
      </c>
      <c r="E16" s="32" t="s">
        <v>373</v>
      </c>
      <c r="F16" s="32"/>
      <c r="G16" s="32"/>
      <c r="H16" s="32"/>
      <c r="I16" s="32"/>
      <c r="J16" s="32"/>
      <c r="K16" s="32"/>
      <c r="L16" s="32"/>
    </row>
    <row r="17" customFormat="false" ht="15" hidden="false" customHeight="false" outlineLevel="0" collapsed="false">
      <c r="A17" s="13" t="s">
        <v>424</v>
      </c>
      <c r="B17" s="13" t="s">
        <v>425</v>
      </c>
      <c r="C17" s="23" t="n">
        <v>100000</v>
      </c>
      <c r="D17" s="15" t="s">
        <v>426</v>
      </c>
      <c r="E17" s="32"/>
      <c r="F17" s="32"/>
      <c r="G17" s="32"/>
      <c r="H17" s="32"/>
      <c r="I17" s="32"/>
      <c r="J17" s="32"/>
      <c r="K17" s="32"/>
      <c r="L17" s="32"/>
    </row>
    <row r="18" customFormat="false" ht="15" hidden="false" customHeight="false" outlineLevel="0" collapsed="false">
      <c r="A18" s="13" t="s">
        <v>427</v>
      </c>
      <c r="B18" s="13" t="s">
        <v>425</v>
      </c>
      <c r="C18" s="23" t="n">
        <v>25000</v>
      </c>
      <c r="D18" s="15" t="s">
        <v>428</v>
      </c>
      <c r="E18" s="32" t="s">
        <v>373</v>
      </c>
      <c r="F18" s="32"/>
      <c r="G18" s="32"/>
      <c r="H18" s="32"/>
      <c r="I18" s="32"/>
      <c r="J18" s="32"/>
      <c r="K18" s="32"/>
      <c r="L18" s="32"/>
    </row>
    <row r="19" customFormat="false" ht="15" hidden="false" customHeight="false" outlineLevel="0" collapsed="false">
      <c r="A19" s="13" t="s">
        <v>429</v>
      </c>
      <c r="B19" s="13" t="s">
        <v>425</v>
      </c>
      <c r="C19" s="23" t="n">
        <v>25000</v>
      </c>
      <c r="D19" s="15" t="s">
        <v>430</v>
      </c>
      <c r="E19" s="32" t="s">
        <v>373</v>
      </c>
      <c r="F19" s="32"/>
      <c r="G19" s="32"/>
      <c r="H19" s="32"/>
      <c r="I19" s="32"/>
      <c r="J19" s="32"/>
      <c r="K19" s="32"/>
      <c r="L19" s="32"/>
    </row>
    <row r="20" customFormat="false" ht="15" hidden="false" customHeight="false" outlineLevel="0" collapsed="false">
      <c r="A20" s="13" t="s">
        <v>431</v>
      </c>
      <c r="B20" s="13" t="s">
        <v>425</v>
      </c>
      <c r="C20" s="23" t="n">
        <v>75000</v>
      </c>
      <c r="D20" s="15" t="s">
        <v>432</v>
      </c>
      <c r="E20" s="32" t="s">
        <v>373</v>
      </c>
      <c r="F20" s="32"/>
      <c r="G20" s="32"/>
      <c r="H20" s="32"/>
      <c r="I20" s="32"/>
      <c r="J20" s="32"/>
      <c r="K20" s="32"/>
      <c r="L20" s="32"/>
    </row>
    <row r="21" customFormat="false" ht="15" hidden="false" customHeight="false" outlineLevel="0" collapsed="false">
      <c r="A21" s="31" t="s">
        <v>433</v>
      </c>
    </row>
    <row r="22" customFormat="false" ht="15" hidden="false" customHeight="false" outlineLevel="0" collapsed="false">
      <c r="A22" s="13" t="s">
        <v>434</v>
      </c>
      <c r="B22" s="13" t="s">
        <v>435</v>
      </c>
      <c r="C22" s="23" t="n">
        <v>0</v>
      </c>
      <c r="D22" s="15" t="s">
        <v>436</v>
      </c>
      <c r="E22" s="32" t="s">
        <v>373</v>
      </c>
      <c r="F22" s="32"/>
      <c r="G22" s="32"/>
      <c r="H22" s="32"/>
      <c r="I22" s="32"/>
      <c r="J22" s="32"/>
      <c r="K22" s="32"/>
      <c r="L22" s="32"/>
    </row>
    <row r="23" customFormat="false" ht="15" hidden="false" customHeight="false" outlineLevel="0" collapsed="false">
      <c r="A23" s="13" t="s">
        <v>437</v>
      </c>
      <c r="B23" s="13" t="s">
        <v>435</v>
      </c>
      <c r="C23" s="23" t="n">
        <v>0</v>
      </c>
      <c r="D23" s="15" t="s">
        <v>436</v>
      </c>
      <c r="E23" s="32"/>
      <c r="F23" s="32"/>
      <c r="G23" s="32"/>
      <c r="H23" s="32"/>
      <c r="I23" s="32"/>
      <c r="J23" s="32"/>
      <c r="K23" s="32"/>
      <c r="L23" s="32"/>
    </row>
    <row r="24" customFormat="false" ht="15" hidden="false" customHeight="false" outlineLevel="0" collapsed="false">
      <c r="A24" s="13" t="s">
        <v>438</v>
      </c>
      <c r="B24" s="13" t="s">
        <v>435</v>
      </c>
      <c r="C24" s="23" t="n">
        <v>0</v>
      </c>
      <c r="D24" s="15" t="s">
        <v>436</v>
      </c>
      <c r="E24" s="32"/>
      <c r="F24" s="32"/>
      <c r="G24" s="32"/>
      <c r="H24" s="32"/>
      <c r="I24" s="32"/>
      <c r="J24" s="32"/>
      <c r="K24" s="32"/>
      <c r="L24" s="32"/>
    </row>
    <row r="25" customFormat="false" ht="15" hidden="false" customHeight="false" outlineLevel="0" collapsed="false">
      <c r="A25" s="13" t="s">
        <v>439</v>
      </c>
      <c r="B25" s="13" t="s">
        <v>440</v>
      </c>
      <c r="C25" s="23" t="n">
        <v>900000</v>
      </c>
      <c r="D25" s="15" t="s">
        <v>441</v>
      </c>
      <c r="E25" s="32" t="s">
        <v>373</v>
      </c>
      <c r="F25" s="32"/>
      <c r="G25" s="32"/>
      <c r="H25" s="32"/>
      <c r="I25" s="32"/>
      <c r="J25" s="32"/>
      <c r="K25" s="32"/>
      <c r="L25" s="32"/>
    </row>
    <row r="26" customFormat="false" ht="15" hidden="false" customHeight="false" outlineLevel="0" collapsed="false">
      <c r="A26" s="13" t="s">
        <v>442</v>
      </c>
      <c r="B26" s="13" t="s">
        <v>440</v>
      </c>
      <c r="C26" s="23" t="n">
        <v>0</v>
      </c>
      <c r="D26" s="15" t="s">
        <v>443</v>
      </c>
      <c r="E26" s="32" t="s">
        <v>373</v>
      </c>
      <c r="F26" s="32"/>
      <c r="G26" s="32"/>
      <c r="H26" s="32"/>
      <c r="I26" s="32"/>
      <c r="J26" s="32"/>
      <c r="K26" s="32"/>
      <c r="L26" s="32"/>
    </row>
    <row r="27" customFormat="false" ht="15" hidden="false" customHeight="false" outlineLevel="0" collapsed="false">
      <c r="A27" s="13" t="s">
        <v>444</v>
      </c>
      <c r="B27" s="13" t="s">
        <v>445</v>
      </c>
      <c r="C27" s="23" t="n">
        <v>0</v>
      </c>
      <c r="D27" s="15" t="s">
        <v>446</v>
      </c>
      <c r="E27" s="32"/>
      <c r="F27" s="32"/>
      <c r="G27" s="32"/>
      <c r="H27" s="32"/>
      <c r="I27" s="32"/>
      <c r="J27" s="32"/>
      <c r="K27" s="32"/>
      <c r="L27" s="32"/>
    </row>
    <row r="28" customFormat="false" ht="15" hidden="false" customHeight="false" outlineLevel="0" collapsed="false">
      <c r="A28" s="13" t="s">
        <v>447</v>
      </c>
      <c r="B28" s="13" t="s">
        <v>448</v>
      </c>
      <c r="C28" s="23" t="n">
        <v>0</v>
      </c>
      <c r="D28" s="15" t="s">
        <v>449</v>
      </c>
      <c r="E28" s="32"/>
      <c r="F28" s="32"/>
      <c r="G28" s="32"/>
      <c r="H28" s="32"/>
      <c r="I28" s="32"/>
      <c r="J28" s="32"/>
      <c r="K28" s="32"/>
      <c r="L28" s="32"/>
    </row>
    <row r="29" customFormat="false" ht="15" hidden="false" customHeight="false" outlineLevel="0" collapsed="false">
      <c r="A29" s="31" t="s">
        <v>450</v>
      </c>
    </row>
    <row r="30" customFormat="false" ht="15" hidden="false" customHeight="false" outlineLevel="0" collapsed="false">
      <c r="A30" s="13" t="s">
        <v>451</v>
      </c>
      <c r="B30" s="13" t="s">
        <v>452</v>
      </c>
      <c r="C30" s="23" t="n">
        <v>0</v>
      </c>
      <c r="D30" s="15" t="s">
        <v>453</v>
      </c>
      <c r="E30" s="32"/>
      <c r="F30" s="32"/>
      <c r="G30" s="32"/>
      <c r="H30" s="32"/>
      <c r="I30" s="32"/>
      <c r="J30" s="32"/>
      <c r="K30" s="32"/>
      <c r="L30" s="32"/>
    </row>
    <row r="31" customFormat="false" ht="15" hidden="false" customHeight="false" outlineLevel="0" collapsed="false">
      <c r="A31" s="13" t="s">
        <v>454</v>
      </c>
      <c r="B31" s="13" t="s">
        <v>452</v>
      </c>
      <c r="C31" s="23" t="n">
        <v>0</v>
      </c>
      <c r="D31" s="15" t="s">
        <v>455</v>
      </c>
      <c r="E31" s="32"/>
      <c r="F31" s="32"/>
      <c r="G31" s="32"/>
      <c r="H31" s="32"/>
      <c r="I31" s="32"/>
      <c r="J31" s="32"/>
      <c r="K31" s="32"/>
      <c r="L31" s="32"/>
    </row>
    <row r="32" customFormat="false" ht="15" hidden="false" customHeight="false" outlineLevel="0" collapsed="false">
      <c r="A32" s="13" t="s">
        <v>456</v>
      </c>
      <c r="B32" s="13" t="s">
        <v>452</v>
      </c>
      <c r="C32" s="23" t="n">
        <v>0</v>
      </c>
      <c r="D32" s="15" t="s">
        <v>457</v>
      </c>
      <c r="E32" s="32"/>
      <c r="F32" s="32"/>
      <c r="G32" s="32"/>
      <c r="H32" s="32"/>
      <c r="I32" s="32"/>
      <c r="J32" s="32"/>
      <c r="K32" s="32"/>
      <c r="L32" s="32"/>
    </row>
    <row r="33" customFormat="false" ht="15" hidden="false" customHeight="false" outlineLevel="0" collapsed="false">
      <c r="A33" s="13" t="s">
        <v>458</v>
      </c>
      <c r="B33" s="13" t="s">
        <v>459</v>
      </c>
      <c r="C33" s="23" t="n">
        <v>0</v>
      </c>
      <c r="D33" s="15" t="s">
        <v>460</v>
      </c>
      <c r="E33" s="32" t="s">
        <v>373</v>
      </c>
      <c r="F33" s="32"/>
      <c r="G33" s="32"/>
      <c r="H33" s="32"/>
      <c r="I33" s="32"/>
      <c r="J33" s="32"/>
      <c r="K33" s="32"/>
      <c r="L33" s="32"/>
    </row>
    <row r="34" customFormat="false" ht="15" hidden="false" customHeight="false" outlineLevel="0" collapsed="false">
      <c r="A34" s="13" t="s">
        <v>461</v>
      </c>
      <c r="B34" s="13" t="s">
        <v>459</v>
      </c>
      <c r="C34" s="23" t="n">
        <v>0</v>
      </c>
      <c r="D34" s="15" t="s">
        <v>462</v>
      </c>
      <c r="E34" s="32"/>
      <c r="F34" s="32"/>
      <c r="G34" s="32"/>
      <c r="H34" s="32"/>
      <c r="I34" s="32"/>
      <c r="J34" s="32"/>
      <c r="K34" s="32"/>
      <c r="L34" s="32"/>
    </row>
    <row r="35" customFormat="false" ht="15" hidden="false" customHeight="false" outlineLevel="0" collapsed="false">
      <c r="A35" s="13" t="s">
        <v>463</v>
      </c>
      <c r="B35" s="13" t="s">
        <v>459</v>
      </c>
      <c r="C35" s="23" t="n">
        <v>0</v>
      </c>
      <c r="D35" s="15" t="s">
        <v>462</v>
      </c>
      <c r="E35" s="32"/>
      <c r="F35" s="32"/>
      <c r="G35" s="32"/>
      <c r="H35" s="32"/>
      <c r="I35" s="32"/>
      <c r="J35" s="32"/>
      <c r="K35" s="32"/>
      <c r="L35" s="32"/>
    </row>
    <row r="36" customFormat="false" ht="15" hidden="false" customHeight="false" outlineLevel="0" collapsed="false">
      <c r="A36" s="13" t="s">
        <v>464</v>
      </c>
      <c r="B36" s="13" t="s">
        <v>452</v>
      </c>
      <c r="C36" s="23" t="n">
        <v>0</v>
      </c>
      <c r="D36" s="15" t="s">
        <v>465</v>
      </c>
      <c r="E36" s="32"/>
      <c r="F36" s="32"/>
      <c r="G36" s="32"/>
      <c r="H36" s="32"/>
      <c r="I36" s="32"/>
      <c r="J36" s="32"/>
      <c r="K36" s="32"/>
      <c r="L36" s="32"/>
    </row>
    <row r="37" customFormat="false" ht="15" hidden="false" customHeight="false" outlineLevel="0" collapsed="false">
      <c r="A37" s="13" t="s">
        <v>466</v>
      </c>
      <c r="B37" s="13" t="s">
        <v>452</v>
      </c>
      <c r="C37" s="23" t="n">
        <v>0</v>
      </c>
      <c r="D37" s="15" t="s">
        <v>467</v>
      </c>
      <c r="E37" s="32"/>
      <c r="F37" s="32"/>
      <c r="G37" s="32"/>
      <c r="H37" s="32"/>
      <c r="I37" s="32"/>
      <c r="J37" s="32"/>
      <c r="K37" s="32"/>
      <c r="L37" s="32"/>
    </row>
    <row r="39" customFormat="false" ht="15" hidden="false" customHeight="false" outlineLevel="0" collapsed="false">
      <c r="A39" s="16" t="s">
        <v>468</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469</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470</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471</v>
      </c>
    </row>
    <row r="2" customFormat="false" ht="15" hidden="false" customHeight="false" outlineLevel="0" collapsed="false">
      <c r="A2" s="2" t="s">
        <v>472</v>
      </c>
    </row>
    <row r="4" customFormat="false" ht="15" hidden="false" customHeight="false" outlineLevel="0" collapsed="false">
      <c r="A4" s="16" t="s">
        <v>155</v>
      </c>
      <c r="B4" s="17" t="s">
        <v>473</v>
      </c>
      <c r="D4" s="16" t="s">
        <v>474</v>
      </c>
    </row>
    <row r="5" customFormat="false" ht="15" hidden="false" customHeight="false" outlineLevel="0" collapsed="false">
      <c r="A5" s="16" t="s">
        <v>157</v>
      </c>
      <c r="B5" s="18" t="n">
        <v>46313.7083333333</v>
      </c>
      <c r="E5" s="16" t="s">
        <v>475</v>
      </c>
      <c r="F5" s="16" t="s">
        <v>476</v>
      </c>
      <c r="G5" s="16" t="s">
        <v>477</v>
      </c>
    </row>
    <row r="6" customFormat="false" ht="15" hidden="false" customHeight="false" outlineLevel="0" collapsed="false">
      <c r="A6" s="16" t="s">
        <v>158</v>
      </c>
      <c r="B6" s="19" t="n">
        <v>285572765</v>
      </c>
      <c r="D6" s="17" t="s">
        <v>478</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479</v>
      </c>
      <c r="B9" s="34" t="n">
        <v>20</v>
      </c>
    </row>
    <row r="10" customFormat="false" ht="15" hidden="false" customHeight="false" outlineLevel="0" collapsed="false">
      <c r="A10" s="16" t="s">
        <v>480</v>
      </c>
      <c r="B10" s="20" t="n">
        <f aca="false">MAX(0,INDEX(B13:B54,B9)-B6)</f>
        <v>139427235</v>
      </c>
    </row>
    <row r="11" customFormat="false" ht="15" hidden="false" customHeight="false" outlineLevel="0" collapsed="false">
      <c r="A11" s="16" t="s">
        <v>481</v>
      </c>
      <c r="B11" s="20" t="n">
        <f aca="true">IFERROR(B10/MAX(B5-NOW(),0.01),0)</f>
        <v>19934947.2004886</v>
      </c>
    </row>
    <row r="12" customFormat="false" ht="15" hidden="false" customHeight="false" outlineLevel="0" collapsed="false">
      <c r="A12" s="3" t="s">
        <v>167</v>
      </c>
      <c r="B12" s="3" t="s">
        <v>168</v>
      </c>
      <c r="C12" s="3" t="s">
        <v>482</v>
      </c>
      <c r="D12" s="3" t="s">
        <v>395</v>
      </c>
      <c r="E12" s="3" t="s">
        <v>475</v>
      </c>
      <c r="F12" s="3" t="s">
        <v>476</v>
      </c>
      <c r="G12" s="3" t="s">
        <v>477</v>
      </c>
      <c r="H12" s="3" t="s">
        <v>12</v>
      </c>
      <c r="I12" s="3" t="s">
        <v>170</v>
      </c>
    </row>
    <row r="13" customFormat="false" ht="15" hidden="false" customHeight="false" outlineLevel="0" collapsed="false">
      <c r="A13" s="22" t="n">
        <v>1</v>
      </c>
      <c r="B13" s="26"/>
      <c r="C13" s="12"/>
      <c r="D13" s="12" t="s">
        <v>483</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484</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485</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485</v>
      </c>
      <c r="E16" s="30" t="n">
        <v>0</v>
      </c>
      <c r="F16" s="30" t="n">
        <v>0</v>
      </c>
      <c r="G16" s="30" t="n">
        <v>0</v>
      </c>
      <c r="H16" s="11" t="s">
        <v>172</v>
      </c>
      <c r="I16" s="23" t="str">
        <f aca="false">IF(B16="","",MAX(0,B16-$B$6))</f>
        <v/>
      </c>
    </row>
    <row r="17" customFormat="false" ht="15" hidden="false" customHeight="false" outlineLevel="0" collapsed="false">
      <c r="A17" s="22" t="n">
        <v>5</v>
      </c>
      <c r="B17" s="26"/>
      <c r="C17" s="12" t="s">
        <v>486</v>
      </c>
      <c r="D17" s="12" t="s">
        <v>487</v>
      </c>
      <c r="E17" s="30" t="n">
        <v>0</v>
      </c>
      <c r="F17" s="30" t="n">
        <v>0</v>
      </c>
      <c r="G17" s="30" t="n">
        <v>0</v>
      </c>
      <c r="H17" s="11" t="s">
        <v>172</v>
      </c>
      <c r="I17" s="23" t="str">
        <f aca="false">IF(B17="","",MAX(0,B17-$B$6))</f>
        <v/>
      </c>
    </row>
    <row r="18" customFormat="false" ht="15" hidden="false" customHeight="false" outlineLevel="0" collapsed="false">
      <c r="A18" s="22" t="n">
        <v>6</v>
      </c>
      <c r="B18" s="26"/>
      <c r="C18" s="12" t="s">
        <v>488</v>
      </c>
      <c r="D18" s="12" t="s">
        <v>489</v>
      </c>
      <c r="E18" s="30" t="n">
        <v>0</v>
      </c>
      <c r="F18" s="30" t="n">
        <v>0</v>
      </c>
      <c r="G18" s="30" t="n">
        <v>0</v>
      </c>
      <c r="H18" s="11" t="s">
        <v>172</v>
      </c>
      <c r="I18" s="23" t="str">
        <f aca="false">IF(B18="","",MAX(0,B18-$B$6))</f>
        <v/>
      </c>
    </row>
    <row r="19" customFormat="false" ht="15" hidden="false" customHeight="false" outlineLevel="0" collapsed="false">
      <c r="A19" s="22" t="n">
        <v>7</v>
      </c>
      <c r="B19" s="26"/>
      <c r="C19" s="12" t="s">
        <v>490</v>
      </c>
      <c r="D19" s="12" t="s">
        <v>491</v>
      </c>
      <c r="E19" s="30" t="n">
        <v>0</v>
      </c>
      <c r="F19" s="30" t="n">
        <v>0</v>
      </c>
      <c r="G19" s="30" t="n">
        <v>0</v>
      </c>
      <c r="H19" s="11" t="s">
        <v>172</v>
      </c>
      <c r="I19" s="23" t="str">
        <f aca="false">IF(B19="","",MAX(0,B19-$B$6))</f>
        <v/>
      </c>
    </row>
    <row r="20" customFormat="false" ht="15" hidden="false" customHeight="false" outlineLevel="0" collapsed="false">
      <c r="A20" s="22" t="n">
        <v>8</v>
      </c>
      <c r="B20" s="26"/>
      <c r="C20" s="12" t="s">
        <v>492</v>
      </c>
      <c r="D20" s="12" t="s">
        <v>493</v>
      </c>
      <c r="E20" s="30" t="n">
        <v>0</v>
      </c>
      <c r="F20" s="30" t="n">
        <v>0</v>
      </c>
      <c r="G20" s="30" t="n">
        <v>0</v>
      </c>
      <c r="H20" s="11" t="s">
        <v>172</v>
      </c>
      <c r="I20" s="23" t="str">
        <f aca="false">IF(B20="","",MAX(0,B20-$B$6))</f>
        <v/>
      </c>
    </row>
    <row r="21" customFormat="false" ht="15" hidden="false" customHeight="false" outlineLevel="0" collapsed="false">
      <c r="A21" s="22" t="n">
        <v>9</v>
      </c>
      <c r="B21" s="26"/>
      <c r="C21" s="12" t="s">
        <v>494</v>
      </c>
      <c r="D21" s="12" t="s">
        <v>495</v>
      </c>
      <c r="E21" s="30" t="n">
        <v>0</v>
      </c>
      <c r="F21" s="30" t="n">
        <v>0</v>
      </c>
      <c r="G21" s="30" t="n">
        <v>0</v>
      </c>
      <c r="H21" s="11" t="s">
        <v>172</v>
      </c>
      <c r="I21" s="23" t="str">
        <f aca="false">IF(B21="","",MAX(0,B21-$B$6))</f>
        <v/>
      </c>
    </row>
    <row r="22" customFormat="false" ht="15" hidden="false" customHeight="false" outlineLevel="0" collapsed="false">
      <c r="A22" s="22" t="n">
        <v>10</v>
      </c>
      <c r="B22" s="26"/>
      <c r="C22" s="12" t="s">
        <v>496</v>
      </c>
      <c r="D22" s="12" t="s">
        <v>497</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498</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499</v>
      </c>
      <c r="D24" s="12" t="s">
        <v>500</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501</v>
      </c>
      <c r="D25" s="12" t="s">
        <v>500</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502</v>
      </c>
      <c r="D26" s="12" t="s">
        <v>500</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500</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503</v>
      </c>
      <c r="D28" s="12" t="s">
        <v>500</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504</v>
      </c>
      <c r="D29" s="12" t="s">
        <v>500</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505</v>
      </c>
      <c r="D30" s="12" t="s">
        <v>506</v>
      </c>
      <c r="E30" s="26"/>
      <c r="F30" s="26"/>
      <c r="G30" s="26"/>
      <c r="H30" s="11" t="s">
        <v>207</v>
      </c>
      <c r="I30" s="23" t="n">
        <f aca="false">IF(B30="","",MAX(0,B30-$B$6))</f>
        <v>89427235</v>
      </c>
    </row>
    <row r="31" customFormat="false" ht="15" hidden="false" customHeight="false" outlineLevel="0" collapsed="false">
      <c r="A31" s="22" t="n">
        <v>19</v>
      </c>
      <c r="B31" s="30" t="n">
        <v>400000000</v>
      </c>
      <c r="C31" s="12" t="s">
        <v>507</v>
      </c>
      <c r="D31" s="12" t="s">
        <v>500</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508</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509</v>
      </c>
      <c r="D33" s="12" t="s">
        <v>500</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510</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511</v>
      </c>
      <c r="D35" s="12" t="s">
        <v>500</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512</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513</v>
      </c>
      <c r="D37" s="12" t="s">
        <v>500</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514</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515</v>
      </c>
      <c r="D39" s="12" t="s">
        <v>500</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516</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517</v>
      </c>
      <c r="D41" s="12" t="s">
        <v>500</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518</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519</v>
      </c>
      <c r="D43" s="12" t="s">
        <v>500</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520</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521</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519</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522</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523</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524</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525</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526</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527</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528</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529</v>
      </c>
      <c r="D54" s="12"/>
      <c r="E54" s="30" t="n">
        <v>1400000</v>
      </c>
      <c r="F54" s="30" t="n">
        <v>1400000</v>
      </c>
      <c r="G54" s="30" t="n">
        <v>2700000</v>
      </c>
      <c r="H54" s="11" t="s">
        <v>207</v>
      </c>
      <c r="I54" s="23" t="n">
        <f aca="false">IF(B54="","",MAX(0,B54-$B$6))</f>
        <v>3214427235</v>
      </c>
    </row>
    <row r="56" customFormat="false" ht="15" hidden="false" customHeight="false" outlineLevel="0" collapsed="false">
      <c r="A56" s="2" t="s">
        <v>530</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2026-10-11T21:08:24Z</dcterms:created>
  <dc:creator>openpyxl</dc:creator>
  <dc:description/>
  <dc:language>en-US</dc:language>
  <cp:lastModifiedBy/>
  <dcterms:modified xsi:type="dcterms:W3CDTF">2026-10-11T21:08:24Z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