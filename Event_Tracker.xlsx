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Resources" sheetId="4" state="visible" r:id="rId6"/>
    <sheet name="Dailies" sheetId="5" state="visible" r:id="rId7"/>
  </sheets>
  <definedNames>
    <definedName function="false" hidden="true" localSheetId="0" name="_xlnm._FilterDatabase" vbProcedure="false">'Build Priority'!$A$4:$L$27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<sst xmlns="http://schemas.openxmlformats.org/spreadsheetml/2006/main" count="898" uniqueCount="473">
  <si>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</si>
  <si>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</si>
  <si>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</si>
  <si>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</si>
  <si>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</si>
  <si>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</si>
  <si>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</si>
  <si>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</si>
  <si>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</si>
  <si>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</si>
  <si>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</si>
  <si>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</si>
  <si>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</si>
  <si>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</si>
  <si>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</si>
  <si>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</si>
  <si>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</si>
  <si>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</si>
  <si>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</si>
  <si>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</si>
  <si>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</si>
  <si>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</si>
  <si>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</si>
  <si>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</si>
  <si>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</si>
  <si>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</si>
  <si>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</si>
  <si>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</si>
  <si>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</si>
  <si>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</si>
  <si>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</si>
  <si>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</si>
  <si>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</si>
  <si>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</si>
  <si>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</si>
  <si>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</si>
  <si>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</si>
  <si>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</si>
  <si>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</si>
  <si>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</si>
  <si>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</si>
  <si>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</si>
  <si>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</si>
  <si>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</si>
  <si>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</si>
  <si>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</si>
  <si>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</si>
  <si>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</si>
  <si>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</si>
  <si>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</si>
  <si>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</si>
  <si>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</si>
  <si>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</si>
  <si>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</si>
  <si>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</si>
  <si>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</si>
  <si>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</si>
  <si>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</si>
  <si>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</si>
  <si>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</si>
  <si>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</si>
  <si>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</si>
  <si>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</si>
  <si>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</si>
  <si>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</si>
  <si>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</si>
  <si>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</si>
  <si>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</si>
  <si>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</si>
  <si>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</si>
  <si>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</si>
  <si>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</si>
  <si>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</si>
  <si>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</si>
  <si>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</si>
  <si>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</si>
  <si>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</si>
  <si>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</si>
  <si>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</si>
  <si>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</si>
  <si>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</si>
  <si>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</si>
  <si>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</si>
  <si>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</si>
  <si>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</si>
  <si>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</si>
  <si>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</si>
  <si>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</si>
  <si>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</si>
  <si>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</si>
  <si>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</si>
  <si>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</si>
  <si>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</si>
  <si>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</si>
  <si>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</si>
  <si>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</si>
  <si>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</si>
  <si>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</si>
  <si>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</si>
  <si>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</si>
  <si>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</si>
  <si>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</si>
  <si>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</si>
  <si>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</si>
  <si>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</si>
  <si>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</si>
  <si>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</si>
  <si>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</si>
  <si>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</si>
  <si>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</si>
  <si>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</si>
  <si>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</si>
  <si>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</si>
  <si>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</si>
  <si>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</si>
  <si>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</si>
  <si>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</si>
  <si>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</si>
  <si>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</si>
  <si>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</si>
  <si>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</si>
  <si>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</si>
  <si>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</si>
  <si>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</si>
  <si>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</si>
  <si>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</si>
  <si>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</si>
  <si>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</si>
  <si>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</si>
  <si>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</si>
  <si>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</si>
  <si>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</si>
  <si>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</si>
  <si>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</si>
  <si>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</si>
  <si>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</si>
  <si>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</si>
  <si>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</si>
  <si>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</si>
  <si>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</si>
  <si>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</si>
  <si>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</si>
  <si>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</si>
  <si>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</si>
  <si>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</si>
  <si>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</si>
  <si>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</si>
  <si>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</si>
  <si>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</si>
  <si>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</si>
  <si>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</si>
  <si>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</si>
  <si>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</si>
  <si>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</si>
  <si>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</si>
  <si>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</si>
  <si>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</si>
  <si>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</si>
  <si>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</si>
  <si>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</si>
  <si>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</si>
  <si>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</si>
  <si>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</si>
  <si>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</si>
  <si>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</si>
  <si>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</si>
  <si>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</si>
  <si>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</si>
  <si>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</si>
  <si>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</si>
  <si>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</si>
  <si>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</si>
  <si>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</si>
  <si>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</si>
  <si>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</si>
  <si>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</si>
  <si>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</si>
  <si>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</si>
  <si>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</si>
  <si>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</si>
  <si>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</si>
  <si>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</si>
  <si>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</si>
  <si>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</si>
  <si>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</si>
  <si>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</si>
  <si>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</si>
  <si>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</si>
  <si>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</si>
  <si>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</si>
  <si>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</si>
  <si>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</si>
  <si>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</si>
  <si>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</si>
  <si>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</si>
  <si>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</si>
  <si>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</si>
  <si>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</si>
  <si>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</si>
  <si>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</si>
  <si>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</si>
  <si>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</si>
  <si>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</si>
  <si>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</si>
  <si>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</si>
  <si>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</si>
  <si>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</si>
  <si>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</si>
  <si>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</si>
  <si>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</si>
  <si>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</si>
  <si>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</si>
  <si>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</si>
  <si>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</si>
  <si>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</si>
  <si>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</si>
  <si>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</si>
  <si>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</si>
  <si>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</si>
  <si>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</si>
  <si>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</si>
  <si>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</si>
  <si>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</si>
  <si>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</si>
  <si>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</si>
  <si>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</si>
  <si>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</si>
  <si>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</si>
  <si>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</si>
  <si>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</si>
  <si>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</si>
  <si>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</si>
  <si>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</si>
  <si>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</si>
  <si>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</si>
  <si>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</si>
  <si>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</si>
  <si>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</si>
  <si>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</si>
  <si>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</si>
  <si>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</si>
  <si>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</si>
  <si>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</si>
  <si>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</si>
  <si>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</si>
  <si>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</si>
  <si>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</si>
  <si>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</si>
  <si>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</si>
  <si>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</si>
  <si>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</si>
  <si>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</si>
  <si>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</si>
  <si>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</si>
  <si>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</si>
  <si>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</si>
  <si>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</si>
  <si>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</si>
  <si>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Yes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</si>
  <si>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</si>
  <si>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</si>
  <si>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</si>
  <si>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</si>
  <si>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</si>
  <si>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No</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</si>
  <si>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</si>
  <si>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</si>
  <si>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</si>
  <si>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</si>
  <si>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</si>
  <si>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</si>
  <si>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</si>
  <si>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</si>
  <si>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</si>
  <si>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</si>
  <si>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</si>
  <si>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</si>
  <si>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</si>
  <si>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</si>
  <si>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</si>
  <si>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</si>
  <si>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</si>
  <si>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</si>
  <si>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</si>
  <si>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</si>
  <si>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</si>
  <si>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</si>
  <si>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</si>
  <si>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</si>
  <si>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</si>
  <si>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</si>
  <si>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</si>
  <si>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</si>
  <si>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</si>
  <si>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</si>
  <si>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</si>
  <si>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</si>
  <si>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</si>
  <si>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</si>
  <si>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</si>
  <si>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</si>
  <si>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</si>
  <si>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</si>
  <si>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</si>
  <si>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</si>
  <si>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</si>
  <si>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</si>
  <si>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</si>
  <si>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</si>
  <si>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</si>
  <si>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</si>
  <si>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</si>
  <si>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</si>
  <si>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</si>
  <si>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</si>
  <si>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</si>
  <si>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</si>
  <si>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</si>
  <si>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</si>
  <si>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</si>
  <si>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</si>
  <si>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</si>
  <si>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</si>
  <si>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</si>
  <si>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</si>
  <si>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</si>
  <si>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</si>
  <si>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</si>
  <si>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</si>
  <si>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</si>
  <si>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</si>
  <si>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</si>
  <si>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</si>
  <si>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</si>
  <si>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</si>
  <si>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</si>
  <si>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</si>
  <si>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</si>
  <si>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</si>
  <si>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</si>
  <si>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</si>
  <si>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</si>
  <si>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</si>
  <si>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</si>
  <si>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</si>
  <si>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</si>
  <si>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</si>
  <si>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</si>
  <si>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</si>
  <si>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</si>
  <si>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</si>
  <si>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</si>
  <si>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</si>
  <si>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</si>
  <si>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</si>
  <si>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</si>
  <si>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</si>
  <si>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</si>
  <si>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</si>
  <si>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</si>
  <si>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</si>
  <si>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</si>
  <si>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</si>
  <si>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</si>
  <si>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</si>
  <si>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</si>
  <si>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</si>
  <si>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</si>
  <si>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</si>
  <si>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</si>
  <si>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</si>
  <si>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</si>
  <si>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</si>
  <si>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</si>
  <si>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</si>
  <si>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</si>
  <si>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</si>
  <si>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</si>
  <si>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</si>
  <si>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</si>
  <si>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</si>
  <si>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</si>
  <si>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</si>
  <si>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</si>
  <si>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</si>
  <si>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</si>
  <si>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</si>
  <si>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</si>
  <si>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</si>
  <si>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</si>
  <si>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</si>
  <si>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</si>
  <si>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</si>
  <si>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</si>
  <si>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</si>
  <si>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</si>
  <si>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</si>
  <si>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</si>
  <si>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</si>
  <si>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</si>
  <si>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</si>
  <si>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</si>
  <si>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</si>
  <si>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</si>
  <si>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</si>
  <si>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</si>
  <si>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Task</t>
  </si>
  <si>
    <t xml:space="preserve">Type</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</si>
  <si>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</si>
  <si>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</si>
  <si>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</si>
  <si>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</si>
  <si>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</si>
  <si>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</si>
  <si>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</si>
  <si>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</si>
  <si>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</si>
  <si>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</si>
  <si>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</si>
  <si>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</si>
  <si>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</si>
  <si>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</si>
  <si>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</si>
  <si>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</si>
  <si>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</si>
  <si>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</si>
  <si>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</si>
  <si>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</si>
  <si>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</si>
  <si>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</si>
  <si>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</si>
  <si>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</si>
  <si>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</si>
  <si>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</si>
  <si>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</si>
  <si>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</si>
  <si>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</si>
  <si>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</si>
  <si>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</si>
  <si>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</si>
  <si>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</si>
  <si>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</si>
  <si>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</si>
  <si>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</si>
  <si>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</si>
  <si>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</si>
  <si>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</si>
  <si>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</si>
  <si>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</si>
  <si>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</si>
  <si>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</si>
  <si>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</si>
  <si>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</si>
  <si>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</si>
  <si>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</si>
  <si>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</si>
  <si>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</si>
  <si>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</si>
  <si>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</si>
  <si>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</si>
  <si>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</si>
  <si>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</si>
  <si>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</si>
  <si>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</si>
  <si>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</si>
  <si>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</si>
  <si>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</si>
  <si>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</si>
  <si>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Event</t>
  </si>
  <si>
    <t xml:space="preserve">5 levels. Resets about 6:40 PM</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</si>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</sst>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237</v>
      </c>
    </row>
    <row r="2" customFormat="false" ht="15" hidden="false" customHeight="false" outlineLevel="0" collapsed="false">
      <c r="A2" s="2" t="s">
        <v>238</v>
      </c>
    </row>
    <row r="4" customFormat="false" ht="26.85" hidden="false" customHeight="false" outlineLevel="0" collapsed="false">
      <c r="A4" s="3" t="s">
        <v>239</v>
      </c>
      <c r="B4" s="3" t="s">
        <v>240</v>
      </c>
      <c r="C4" s="3" t="s">
        <v>241</v>
      </c>
      <c r="D4" s="3" t="s">
        <v>242</v>
      </c>
      <c r="E4" s="3" t="s">
        <v>243</v>
      </c>
      <c r="F4" s="3" t="s">
        <v>244</v>
      </c>
      <c r="G4" s="3" t="s">
        <v>245</v>
      </c>
      <c r="H4" s="3" t="s">
        <v>246</v>
      </c>
    </row>
    <row r="5" customFormat="false" ht="15" hidden="false" customHeight="false" outlineLevel="0" collapsed="false">
      <c r="A5" s="15" t="s">
        <v>247</v>
      </c>
      <c r="B5" s="25" t="n">
        <v>8278000</v>
      </c>
      <c r="C5" s="25" t="n">
        <v>206800</v>
      </c>
      <c r="D5" s="25" t="n">
        <v>8700000</v>
      </c>
      <c r="E5" s="25" t="n">
        <v>17890000</v>
      </c>
      <c r="F5" s="25" t="n">
        <v>293</v>
      </c>
      <c r="G5" s="25" t="n">
        <v>688</v>
      </c>
      <c r="H5" s="25" t="n">
        <v>231</v>
      </c>
    </row>
    <row r="6" customFormat="false" ht="15" hidden="false" customHeight="false" outlineLevel="0" collapsed="false">
      <c r="A6" s="15" t="s">
        <v>248</v>
      </c>
      <c r="B6" s="26" t="n">
        <f aca="false">SUMIFS(B13:B81,$I$13:$I$81,"Yes",$J$13:$J$81,"No")</f>
        <v>15850000</v>
      </c>
      <c r="C6" s="26" t="n">
        <f aca="false">SUMIFS(C13:C81,$I$13:$I$81,"Yes",$J$13:$J$81,"No")</f>
        <v>450000</v>
      </c>
      <c r="D6" s="26" t="n">
        <f aca="false">SUMIFS(D13:D81,$I$13:$I$81,"Yes",$J$13:$J$81,"No")</f>
        <v>886000</v>
      </c>
      <c r="E6" s="26" t="n">
        <f aca="false">SUMIFS(E13:E81,$I$13:$I$81,"Yes",$J$13:$J$81,"No")</f>
        <v>886000</v>
      </c>
      <c r="F6" s="26" t="n">
        <f aca="false">SUMIFS(F13:F81,$I$13:$I$81,"Yes",$J$13:$J$81,"No")</f>
        <v>0</v>
      </c>
      <c r="G6" s="26" t="n">
        <f aca="false">SUMIFS(G13:G81,$I$13:$I$81,"Yes",$J$13:$J$81,"No")</f>
        <v>100</v>
      </c>
      <c r="H6" s="26" t="n">
        <f aca="false">SUMIFS(H13:H81,$I$13:$I$81,"Yes",$J$13:$J$81,"No")</f>
        <v>85</v>
      </c>
    </row>
    <row r="7" customFormat="false" ht="15" hidden="false" customHeight="false" outlineLevel="0" collapsed="false">
      <c r="A7" s="15" t="s">
        <v>249</v>
      </c>
      <c r="B7" s="26" t="n">
        <f aca="false">B5+B6</f>
        <v>24128000</v>
      </c>
      <c r="C7" s="26" t="n">
        <f aca="false">C5+C6</f>
        <v>656800</v>
      </c>
      <c r="D7" s="26" t="n">
        <f aca="false">D5+D6</f>
        <v>9586000</v>
      </c>
      <c r="E7" s="26" t="n">
        <f aca="false">E5+E6</f>
        <v>18776000</v>
      </c>
      <c r="F7" s="26" t="n">
        <f aca="false">F5+F6</f>
        <v>293</v>
      </c>
      <c r="G7" s="26" t="n">
        <f aca="false">G5+G6</f>
        <v>788</v>
      </c>
      <c r="H7" s="26" t="n">
        <f aca="false">H5+H6</f>
        <v>316</v>
      </c>
    </row>
    <row r="8" customFormat="false" ht="15" hidden="false" customHeight="false" outlineLevel="0" collapsed="false">
      <c r="A8" s="15" t="s">
        <v>250</v>
      </c>
      <c r="B8" s="26" t="n">
        <f aca="false">SUMIF($J$85:$J$117,"Planned",B85:B117)</f>
        <v>3312000</v>
      </c>
      <c r="C8" s="26" t="n">
        <f aca="false">SUMIF($J$85:$J$117,"Planned",C85:C117)</f>
        <v>0</v>
      </c>
      <c r="D8" s="26" t="n">
        <f aca="false">SUMIF($J$85:$J$117,"Planned",D85:D117)</f>
        <v>0</v>
      </c>
      <c r="E8" s="26" t="n">
        <f aca="false">SUMIF($J$85:$J$117,"Planned",E85:E117)</f>
        <v>0</v>
      </c>
      <c r="F8" s="26" t="n">
        <f aca="false">SUMIF($J$85:$J$117,"Planned",F85:F117)</f>
        <v>0</v>
      </c>
      <c r="G8" s="26" t="n">
        <f aca="false">SUMIF($J$85:$J$117,"Planned",G85:G117)</f>
        <v>0</v>
      </c>
      <c r="H8" s="26" t="n">
        <f aca="false">SUMIF($J$85:$J$117,"Planned",H85:H117)</f>
        <v>0</v>
      </c>
    </row>
    <row r="9" customFormat="false" ht="15" hidden="false" customHeight="false" outlineLevel="0" collapsed="false">
      <c r="A9" s="15" t="s">
        <v>251</v>
      </c>
      <c r="B9" s="27" t="n">
        <f aca="false">B7-B8</f>
        <v>20816000</v>
      </c>
      <c r="C9" s="27" t="n">
        <f aca="false">C7-C8</f>
        <v>656800</v>
      </c>
      <c r="D9" s="27" t="n">
        <f aca="false">D7-D8</f>
        <v>9586000</v>
      </c>
      <c r="E9" s="27" t="n">
        <f aca="false">E7-E8</f>
        <v>18776000</v>
      </c>
      <c r="F9" s="27" t="n">
        <f aca="false">F7-F8</f>
        <v>293</v>
      </c>
      <c r="G9" s="27" t="n">
        <f aca="false">G7-G8</f>
        <v>788</v>
      </c>
      <c r="H9" s="27" t="n">
        <f aca="false">H7-H8</f>
        <v>316</v>
      </c>
    </row>
    <row r="10" customFormat="false" ht="15" hidden="false" customHeight="false" outlineLevel="0" collapsed="false">
      <c r="A10" s="2" t="s">
        <v>252</v>
      </c>
    </row>
    <row r="11" customFormat="false" ht="15" hidden="false" customHeight="false" outlineLevel="0" collapsed="false">
      <c r="A11" s="22" t="s">
        <v>253</v>
      </c>
    </row>
    <row r="12" customFormat="false" ht="26.85" hidden="false" customHeight="false" outlineLevel="0" collapsed="false">
      <c r="A12" s="3" t="s">
        <v>254</v>
      </c>
      <c r="B12" s="3" t="s">
        <v>240</v>
      </c>
      <c r="C12" s="3" t="s">
        <v>241</v>
      </c>
      <c r="D12" s="3" t="s">
        <v>242</v>
      </c>
      <c r="E12" s="3" t="s">
        <v>243</v>
      </c>
      <c r="F12" s="3" t="s">
        <v>244</v>
      </c>
      <c r="G12" s="3" t="s">
        <v>245</v>
      </c>
      <c r="H12" s="3" t="s">
        <v>246</v>
      </c>
      <c r="I12" s="3" t="s">
        <v>255</v>
      </c>
      <c r="J12" s="3" t="s">
        <v>256</v>
      </c>
      <c r="K12" s="3" t="s">
        <v>13</v>
      </c>
    </row>
    <row r="13" customFormat="false" ht="15" hidden="false" customHeight="false" outlineLevel="0" collapsed="false">
      <c r="A13" s="11" t="s">
        <v>257</v>
      </c>
      <c r="B13" s="28" t="n">
        <v>100000</v>
      </c>
      <c r="C13" s="28" t="n">
        <v>0</v>
      </c>
      <c r="D13" s="28" t="n">
        <v>0</v>
      </c>
      <c r="E13" s="28" t="n">
        <v>0</v>
      </c>
      <c r="F13" s="28" t="n">
        <v>0</v>
      </c>
      <c r="G13" s="28" t="n">
        <v>0</v>
      </c>
      <c r="H13" s="28" t="n">
        <v>0</v>
      </c>
      <c r="I13" s="10" t="s">
        <v>258</v>
      </c>
      <c r="J13" s="10" t="s">
        <v>258</v>
      </c>
      <c r="K13" s="14" t="s">
        <v>259</v>
      </c>
    </row>
    <row r="14" customFormat="false" ht="15" hidden="false" customHeight="false" outlineLevel="0" collapsed="false">
      <c r="A14" s="11" t="s">
        <v>260</v>
      </c>
      <c r="B14" s="28" t="n">
        <v>1600000</v>
      </c>
      <c r="C14" s="28" t="n">
        <v>0</v>
      </c>
      <c r="D14" s="28" t="n">
        <v>0</v>
      </c>
      <c r="E14" s="28" t="n">
        <v>0</v>
      </c>
      <c r="F14" s="28" t="n">
        <v>0</v>
      </c>
      <c r="G14" s="28" t="n">
        <v>0</v>
      </c>
      <c r="H14" s="28" t="n">
        <v>0</v>
      </c>
      <c r="I14" s="10" t="s">
        <v>258</v>
      </c>
      <c r="J14" s="10" t="s">
        <v>258</v>
      </c>
      <c r="K14" s="14" t="s">
        <v>261</v>
      </c>
    </row>
    <row r="15" customFormat="false" ht="15" hidden="false" customHeight="false" outlineLevel="0" collapsed="false">
      <c r="A15" s="11" t="s">
        <v>262</v>
      </c>
      <c r="B15" s="28" t="n">
        <v>1600000</v>
      </c>
      <c r="C15" s="28" t="n">
        <v>0</v>
      </c>
      <c r="D15" s="28" t="n">
        <v>0</v>
      </c>
      <c r="E15" s="28" t="n">
        <v>0</v>
      </c>
      <c r="F15" s="28" t="n">
        <v>0</v>
      </c>
      <c r="G15" s="28" t="n">
        <v>0</v>
      </c>
      <c r="H15" s="28" t="n">
        <v>0</v>
      </c>
      <c r="I15" s="10" t="s">
        <v>258</v>
      </c>
      <c r="J15" s="10" t="s">
        <v>258</v>
      </c>
      <c r="K15" s="14" t="s">
        <v>261</v>
      </c>
    </row>
    <row r="16" customFormat="false" ht="15" hidden="false" customHeight="false" outlineLevel="0" collapsed="false">
      <c r="A16" s="11" t="s">
        <v>263</v>
      </c>
      <c r="B16" s="28" t="n">
        <v>1600000</v>
      </c>
      <c r="C16" s="28" t="n">
        <v>0</v>
      </c>
      <c r="D16" s="28" t="n">
        <v>0</v>
      </c>
      <c r="E16" s="28" t="n">
        <v>0</v>
      </c>
      <c r="F16" s="28" t="n">
        <v>0</v>
      </c>
      <c r="G16" s="28" t="n">
        <v>0</v>
      </c>
      <c r="H16" s="28" t="n">
        <v>0</v>
      </c>
      <c r="I16" s="10" t="s">
        <v>258</v>
      </c>
      <c r="J16" s="10" t="s">
        <v>264</v>
      </c>
      <c r="K16" s="14" t="s">
        <v>261</v>
      </c>
    </row>
    <row r="17" customFormat="false" ht="15" hidden="false" customHeight="false" outlineLevel="0" collapsed="false">
      <c r="A17" s="11" t="s">
        <v>265</v>
      </c>
      <c r="B17" s="28" t="n">
        <v>1600000</v>
      </c>
      <c r="C17" s="28" t="n">
        <v>0</v>
      </c>
      <c r="D17" s="28" t="n">
        <v>0</v>
      </c>
      <c r="E17" s="28" t="n">
        <v>0</v>
      </c>
      <c r="F17" s="28" t="n">
        <v>0</v>
      </c>
      <c r="G17" s="28" t="n">
        <v>0</v>
      </c>
      <c r="H17" s="28" t="n">
        <v>0</v>
      </c>
      <c r="I17" s="10" t="s">
        <v>258</v>
      </c>
      <c r="J17" s="10" t="s">
        <v>264</v>
      </c>
      <c r="K17" s="14" t="s">
        <v>261</v>
      </c>
    </row>
    <row r="18" customFormat="false" ht="15" hidden="false" customHeight="false" outlineLevel="0" collapsed="false">
      <c r="A18" s="11" t="s">
        <v>266</v>
      </c>
      <c r="B18" s="28" t="n">
        <v>1600000</v>
      </c>
      <c r="C18" s="28" t="n">
        <v>0</v>
      </c>
      <c r="D18" s="28" t="n">
        <v>0</v>
      </c>
      <c r="E18" s="28" t="n">
        <v>0</v>
      </c>
      <c r="F18" s="28" t="n">
        <v>0</v>
      </c>
      <c r="G18" s="28" t="n">
        <v>0</v>
      </c>
      <c r="H18" s="28" t="n">
        <v>0</v>
      </c>
      <c r="I18" s="10" t="s">
        <v>258</v>
      </c>
      <c r="J18" s="10" t="s">
        <v>264</v>
      </c>
      <c r="K18" s="14" t="s">
        <v>261</v>
      </c>
    </row>
    <row r="19" customFormat="false" ht="15" hidden="false" customHeight="false" outlineLevel="0" collapsed="false">
      <c r="A19" s="11" t="s">
        <v>267</v>
      </c>
      <c r="B19" s="28" t="n">
        <v>1600000</v>
      </c>
      <c r="C19" s="28" t="n">
        <v>0</v>
      </c>
      <c r="D19" s="28" t="n">
        <v>0</v>
      </c>
      <c r="E19" s="28" t="n">
        <v>0</v>
      </c>
      <c r="F19" s="28" t="n">
        <v>0</v>
      </c>
      <c r="G19" s="28" t="n">
        <v>0</v>
      </c>
      <c r="H19" s="28" t="n">
        <v>0</v>
      </c>
      <c r="I19" s="10" t="s">
        <v>258</v>
      </c>
      <c r="J19" s="10" t="s">
        <v>264</v>
      </c>
      <c r="K19" s="14" t="s">
        <v>261</v>
      </c>
    </row>
    <row r="20" customFormat="false" ht="15" hidden="false" customHeight="false" outlineLevel="0" collapsed="false">
      <c r="A20" s="11" t="s">
        <v>268</v>
      </c>
      <c r="B20" s="28" t="n">
        <v>1600000</v>
      </c>
      <c r="C20" s="28" t="n">
        <v>0</v>
      </c>
      <c r="D20" s="28" t="n">
        <v>0</v>
      </c>
      <c r="E20" s="28" t="n">
        <v>0</v>
      </c>
      <c r="F20" s="28" t="n">
        <v>0</v>
      </c>
      <c r="G20" s="28" t="n">
        <v>0</v>
      </c>
      <c r="H20" s="28" t="n">
        <v>0</v>
      </c>
      <c r="I20" s="10" t="s">
        <v>258</v>
      </c>
      <c r="J20" s="10" t="s">
        <v>264</v>
      </c>
      <c r="K20" s="14" t="s">
        <v>261</v>
      </c>
    </row>
    <row r="21" customFormat="false" ht="15" hidden="false" customHeight="false" outlineLevel="0" collapsed="false">
      <c r="A21" s="11" t="s">
        <v>269</v>
      </c>
      <c r="B21" s="28" t="n">
        <v>100000</v>
      </c>
      <c r="C21" s="28" t="n">
        <v>0</v>
      </c>
      <c r="D21" s="28" t="n">
        <v>0</v>
      </c>
      <c r="E21" s="28" t="n">
        <v>0</v>
      </c>
      <c r="F21" s="28" t="n">
        <v>0</v>
      </c>
      <c r="G21" s="28" t="n">
        <v>0</v>
      </c>
      <c r="H21" s="28" t="n">
        <v>0</v>
      </c>
      <c r="I21" s="10" t="s">
        <v>258</v>
      </c>
      <c r="J21" s="10" t="s">
        <v>264</v>
      </c>
      <c r="K21" s="14"/>
    </row>
    <row r="22" customFormat="false" ht="15" hidden="false" customHeight="false" outlineLevel="0" collapsed="false">
      <c r="A22" s="11" t="s">
        <v>270</v>
      </c>
      <c r="B22" s="28" t="n">
        <v>200000</v>
      </c>
      <c r="C22" s="28" t="n">
        <v>0</v>
      </c>
      <c r="D22" s="28" t="n">
        <v>0</v>
      </c>
      <c r="E22" s="28" t="n">
        <v>0</v>
      </c>
      <c r="F22" s="28" t="n">
        <v>0</v>
      </c>
      <c r="G22" s="28" t="n">
        <v>0</v>
      </c>
      <c r="H22" s="28" t="n">
        <v>0</v>
      </c>
      <c r="I22" s="10" t="s">
        <v>258</v>
      </c>
      <c r="J22" s="10" t="s">
        <v>264</v>
      </c>
      <c r="K22" s="14"/>
    </row>
    <row r="23" customFormat="false" ht="15" hidden="false" customHeight="false" outlineLevel="0" collapsed="false">
      <c r="A23" s="11" t="s">
        <v>271</v>
      </c>
      <c r="B23" s="28" t="n">
        <v>0</v>
      </c>
      <c r="C23" s="28" t="n">
        <v>0</v>
      </c>
      <c r="D23" s="28" t="n">
        <v>0</v>
      </c>
      <c r="E23" s="28" t="n">
        <v>0</v>
      </c>
      <c r="F23" s="28" t="n">
        <v>0</v>
      </c>
      <c r="G23" s="28" t="n">
        <v>100</v>
      </c>
      <c r="H23" s="28" t="n">
        <v>0</v>
      </c>
      <c r="I23" s="10" t="s">
        <v>258</v>
      </c>
      <c r="J23" s="10" t="s">
        <v>264</v>
      </c>
      <c r="K23" s="14" t="s">
        <v>272</v>
      </c>
    </row>
    <row r="24" customFormat="false" ht="15" hidden="false" customHeight="false" outlineLevel="0" collapsed="false">
      <c r="A24" s="11" t="s">
        <v>273</v>
      </c>
      <c r="B24" s="28" t="n">
        <v>150000</v>
      </c>
      <c r="C24" s="28" t="n">
        <v>0</v>
      </c>
      <c r="D24" s="28" t="n">
        <v>0</v>
      </c>
      <c r="E24" s="28" t="n">
        <v>0</v>
      </c>
      <c r="F24" s="28" t="n">
        <v>0</v>
      </c>
      <c r="G24" s="28" t="n">
        <v>0</v>
      </c>
      <c r="H24" s="28" t="n">
        <v>15</v>
      </c>
      <c r="I24" s="10" t="s">
        <v>258</v>
      </c>
      <c r="J24" s="10" t="s">
        <v>258</v>
      </c>
      <c r="K24" s="14"/>
    </row>
    <row r="25" customFormat="false" ht="15" hidden="false" customHeight="false" outlineLevel="0" collapsed="false">
      <c r="A25" s="11" t="s">
        <v>274</v>
      </c>
      <c r="B25" s="28" t="n">
        <v>150000</v>
      </c>
      <c r="C25" s="28" t="n">
        <v>0</v>
      </c>
      <c r="D25" s="28" t="n">
        <v>0</v>
      </c>
      <c r="E25" s="28" t="n">
        <v>0</v>
      </c>
      <c r="F25" s="28" t="n">
        <v>0</v>
      </c>
      <c r="G25" s="28" t="n">
        <v>0</v>
      </c>
      <c r="H25" s="28" t="n">
        <v>20</v>
      </c>
      <c r="I25" s="10" t="s">
        <v>258</v>
      </c>
      <c r="J25" s="10" t="s">
        <v>258</v>
      </c>
      <c r="K25" s="14"/>
    </row>
    <row r="26" customFormat="false" ht="15" hidden="false" customHeight="false" outlineLevel="0" collapsed="false">
      <c r="A26" s="11" t="s">
        <v>275</v>
      </c>
      <c r="B26" s="28" t="n">
        <v>200000</v>
      </c>
      <c r="C26" s="28" t="n">
        <v>0</v>
      </c>
      <c r="D26" s="28" t="n">
        <v>0</v>
      </c>
      <c r="E26" s="28" t="n">
        <v>0</v>
      </c>
      <c r="F26" s="28" t="n">
        <v>0</v>
      </c>
      <c r="G26" s="28" t="n">
        <v>0</v>
      </c>
      <c r="H26" s="28" t="n">
        <v>25</v>
      </c>
      <c r="I26" s="10" t="s">
        <v>258</v>
      </c>
      <c r="J26" s="10" t="s">
        <v>258</v>
      </c>
      <c r="K26" s="14"/>
    </row>
    <row r="27" customFormat="false" ht="15" hidden="false" customHeight="false" outlineLevel="0" collapsed="false">
      <c r="A27" s="11" t="s">
        <v>276</v>
      </c>
      <c r="B27" s="28" t="n">
        <v>250000</v>
      </c>
      <c r="C27" s="28" t="n">
        <v>0</v>
      </c>
      <c r="D27" s="28" t="n">
        <v>0</v>
      </c>
      <c r="E27" s="28" t="n">
        <v>0</v>
      </c>
      <c r="F27" s="28" t="n">
        <v>0</v>
      </c>
      <c r="G27" s="28" t="n">
        <v>0</v>
      </c>
      <c r="H27" s="28" t="n">
        <v>30</v>
      </c>
      <c r="I27" s="10" t="s">
        <v>258</v>
      </c>
      <c r="J27" s="10" t="s">
        <v>258</v>
      </c>
      <c r="K27" s="14"/>
    </row>
    <row r="28" customFormat="false" ht="15" hidden="false" customHeight="false" outlineLevel="0" collapsed="false">
      <c r="A28" s="11" t="s">
        <v>277</v>
      </c>
      <c r="B28" s="28" t="n">
        <v>300000</v>
      </c>
      <c r="C28" s="28" t="n">
        <v>0</v>
      </c>
      <c r="D28" s="28" t="n">
        <v>0</v>
      </c>
      <c r="E28" s="28" t="n">
        <v>0</v>
      </c>
      <c r="F28" s="28" t="n">
        <v>0</v>
      </c>
      <c r="G28" s="28" t="n">
        <v>0</v>
      </c>
      <c r="H28" s="28" t="n">
        <v>40</v>
      </c>
      <c r="I28" s="10" t="s">
        <v>258</v>
      </c>
      <c r="J28" s="10" t="s">
        <v>264</v>
      </c>
      <c r="K28" s="14"/>
    </row>
    <row r="29" customFormat="false" ht="15" hidden="false" customHeight="false" outlineLevel="0" collapsed="false">
      <c r="A29" s="11" t="s">
        <v>278</v>
      </c>
      <c r="B29" s="28" t="n">
        <v>350000</v>
      </c>
      <c r="C29" s="28" t="n">
        <v>0</v>
      </c>
      <c r="D29" s="28" t="n">
        <v>0</v>
      </c>
      <c r="E29" s="28" t="n">
        <v>0</v>
      </c>
      <c r="F29" s="28" t="n">
        <v>0</v>
      </c>
      <c r="G29" s="28" t="n">
        <v>0</v>
      </c>
      <c r="H29" s="28" t="n">
        <v>45</v>
      </c>
      <c r="I29" s="10" t="s">
        <v>258</v>
      </c>
      <c r="J29" s="10" t="s">
        <v>264</v>
      </c>
      <c r="K29" s="14"/>
    </row>
    <row r="30" customFormat="false" ht="15" hidden="false" customHeight="false" outlineLevel="0" collapsed="false">
      <c r="A30" s="11" t="s">
        <v>279</v>
      </c>
      <c r="B30" s="28" t="n">
        <v>0</v>
      </c>
      <c r="C30" s="28" t="n">
        <v>0</v>
      </c>
      <c r="D30" s="28" t="n">
        <v>0</v>
      </c>
      <c r="E30" s="28" t="n">
        <v>0</v>
      </c>
      <c r="F30" s="28" t="n">
        <v>0</v>
      </c>
      <c r="G30" s="28" t="n">
        <v>0</v>
      </c>
      <c r="H30" s="28" t="n">
        <v>0</v>
      </c>
      <c r="I30" s="10" t="s">
        <v>258</v>
      </c>
      <c r="J30" s="10" t="s">
        <v>264</v>
      </c>
      <c r="K30" s="14" t="s">
        <v>280</v>
      </c>
    </row>
    <row r="31" customFormat="false" ht="15" hidden="false" customHeight="false" outlineLevel="0" collapsed="false">
      <c r="A31" s="11" t="s">
        <v>281</v>
      </c>
      <c r="B31" s="28" t="n">
        <v>0</v>
      </c>
      <c r="C31" s="28" t="n">
        <v>0</v>
      </c>
      <c r="D31" s="28" t="n">
        <v>0</v>
      </c>
      <c r="E31" s="28" t="n">
        <v>0</v>
      </c>
      <c r="F31" s="28" t="n">
        <v>0</v>
      </c>
      <c r="G31" s="28" t="n">
        <v>0</v>
      </c>
      <c r="H31" s="28" t="n">
        <v>0</v>
      </c>
      <c r="I31" s="10" t="s">
        <v>258</v>
      </c>
      <c r="J31" s="10" t="s">
        <v>264</v>
      </c>
      <c r="K31" s="14" t="s">
        <v>280</v>
      </c>
    </row>
    <row r="32" customFormat="false" ht="15" hidden="false" customHeight="false" outlineLevel="0" collapsed="false">
      <c r="A32" s="11" t="s">
        <v>282</v>
      </c>
      <c r="B32" s="28" t="n">
        <v>0</v>
      </c>
      <c r="C32" s="28" t="n">
        <v>0</v>
      </c>
      <c r="D32" s="28" t="n">
        <v>0</v>
      </c>
      <c r="E32" s="28" t="n">
        <v>0</v>
      </c>
      <c r="F32" s="28" t="n">
        <v>0</v>
      </c>
      <c r="G32" s="28" t="n">
        <v>0</v>
      </c>
      <c r="H32" s="28" t="n">
        <v>0</v>
      </c>
      <c r="I32" s="10" t="s">
        <v>258</v>
      </c>
      <c r="J32" s="10" t="s">
        <v>264</v>
      </c>
      <c r="K32" s="14" t="s">
        <v>280</v>
      </c>
    </row>
    <row r="33" customFormat="false" ht="15" hidden="false" customHeight="false" outlineLevel="0" collapsed="false">
      <c r="A33" s="11" t="s">
        <v>283</v>
      </c>
      <c r="B33" s="28" t="n">
        <v>0</v>
      </c>
      <c r="C33" s="28" t="n">
        <v>0</v>
      </c>
      <c r="D33" s="28" t="n">
        <v>0</v>
      </c>
      <c r="E33" s="28" t="n">
        <v>0</v>
      </c>
      <c r="F33" s="28" t="n">
        <v>0</v>
      </c>
      <c r="G33" s="28" t="n">
        <v>0</v>
      </c>
      <c r="H33" s="28" t="n">
        <v>800</v>
      </c>
      <c r="I33" s="10" t="s">
        <v>258</v>
      </c>
      <c r="J33" s="10" t="s">
        <v>258</v>
      </c>
      <c r="K33" s="14"/>
    </row>
    <row r="34" customFormat="false" ht="15" hidden="false" customHeight="false" outlineLevel="0" collapsed="false">
      <c r="A34" s="11" t="s">
        <v>284</v>
      </c>
      <c r="B34" s="28" t="n">
        <v>10000000</v>
      </c>
      <c r="C34" s="28" t="n">
        <v>0</v>
      </c>
      <c r="D34" s="28" t="n">
        <v>0</v>
      </c>
      <c r="E34" s="28" t="n">
        <v>0</v>
      </c>
      <c r="F34" s="28" t="n">
        <v>0</v>
      </c>
      <c r="G34" s="28" t="n">
        <v>0</v>
      </c>
      <c r="H34" s="28" t="n">
        <v>0</v>
      </c>
      <c r="I34" s="10" t="s">
        <v>258</v>
      </c>
      <c r="J34" s="10" t="s">
        <v>258</v>
      </c>
      <c r="K34" s="14"/>
    </row>
    <row r="35" customFormat="false" ht="15" hidden="false" customHeight="false" outlineLevel="0" collapsed="false">
      <c r="A35" s="11" t="s">
        <v>285</v>
      </c>
      <c r="B35" s="28" t="n">
        <v>500000</v>
      </c>
      <c r="C35" s="28" t="n">
        <v>0</v>
      </c>
      <c r="D35" s="28" t="n">
        <v>0</v>
      </c>
      <c r="E35" s="28" t="n">
        <v>0</v>
      </c>
      <c r="F35" s="28" t="n">
        <v>0</v>
      </c>
      <c r="G35" s="28" t="n">
        <v>0</v>
      </c>
      <c r="H35" s="28" t="n">
        <v>0</v>
      </c>
      <c r="I35" s="10" t="s">
        <v>258</v>
      </c>
      <c r="J35" s="10" t="s">
        <v>258</v>
      </c>
      <c r="K35" s="14"/>
    </row>
    <row r="36" customFormat="false" ht="15" hidden="false" customHeight="false" outlineLevel="0" collapsed="false">
      <c r="A36" s="11" t="s">
        <v>286</v>
      </c>
      <c r="B36" s="28" t="n">
        <v>0</v>
      </c>
      <c r="C36" s="28" t="n">
        <v>3000000</v>
      </c>
      <c r="D36" s="28" t="n">
        <v>3000000</v>
      </c>
      <c r="E36" s="28" t="n">
        <v>2600000</v>
      </c>
      <c r="F36" s="28" t="n">
        <v>0</v>
      </c>
      <c r="G36" s="28" t="n">
        <v>0</v>
      </c>
      <c r="H36" s="28" t="n">
        <v>0</v>
      </c>
      <c r="I36" s="10" t="s">
        <v>258</v>
      </c>
      <c r="J36" s="10" t="s">
        <v>258</v>
      </c>
      <c r="K36" s="14" t="s">
        <v>287</v>
      </c>
    </row>
    <row r="37" customFormat="false" ht="15" hidden="false" customHeight="false" outlineLevel="0" collapsed="false">
      <c r="A37" s="11" t="s">
        <v>288</v>
      </c>
      <c r="B37" s="28" t="n">
        <v>0</v>
      </c>
      <c r="C37" s="28" t="n">
        <v>0</v>
      </c>
      <c r="D37" s="28" t="n">
        <v>0</v>
      </c>
      <c r="E37" s="28" t="n">
        <v>0</v>
      </c>
      <c r="F37" s="28" t="n">
        <v>0</v>
      </c>
      <c r="G37" s="28" t="n">
        <v>0</v>
      </c>
      <c r="H37" s="28" t="n">
        <v>0</v>
      </c>
      <c r="I37" s="10" t="s">
        <v>258</v>
      </c>
      <c r="J37" s="10" t="s">
        <v>264</v>
      </c>
      <c r="K37" s="14" t="s">
        <v>280</v>
      </c>
    </row>
    <row r="38" customFormat="false" ht="15" hidden="false" customHeight="false" outlineLevel="0" collapsed="false">
      <c r="A38" s="11" t="s">
        <v>289</v>
      </c>
      <c r="B38" s="28" t="n">
        <v>0</v>
      </c>
      <c r="C38" s="28" t="n">
        <v>950000</v>
      </c>
      <c r="D38" s="28" t="n">
        <v>0</v>
      </c>
      <c r="E38" s="28" t="n">
        <v>1900000</v>
      </c>
      <c r="F38" s="28" t="n">
        <v>0</v>
      </c>
      <c r="G38" s="28" t="n">
        <v>0</v>
      </c>
      <c r="H38" s="28" t="n">
        <v>0</v>
      </c>
      <c r="I38" s="10" t="s">
        <v>258</v>
      </c>
      <c r="J38" s="10" t="s">
        <v>258</v>
      </c>
      <c r="K38" s="14" t="s">
        <v>290</v>
      </c>
    </row>
    <row r="39" customFormat="false" ht="15" hidden="false" customHeight="false" outlineLevel="0" collapsed="false">
      <c r="A39" s="11" t="s">
        <v>291</v>
      </c>
      <c r="B39" s="28" t="n">
        <v>0</v>
      </c>
      <c r="C39" s="28" t="n">
        <v>0</v>
      </c>
      <c r="D39" s="28" t="n">
        <v>1400000</v>
      </c>
      <c r="E39" s="28" t="n">
        <v>1900000</v>
      </c>
      <c r="F39" s="28" t="n">
        <v>0</v>
      </c>
      <c r="G39" s="28" t="n">
        <v>0</v>
      </c>
      <c r="H39" s="28" t="n">
        <v>0</v>
      </c>
      <c r="I39" s="10" t="s">
        <v>258</v>
      </c>
      <c r="J39" s="10" t="s">
        <v>258</v>
      </c>
      <c r="K39" s="14" t="s">
        <v>292</v>
      </c>
    </row>
    <row r="40" customFormat="false" ht="15" hidden="false" customHeight="false" outlineLevel="0" collapsed="false">
      <c r="A40" s="11" t="s">
        <v>293</v>
      </c>
      <c r="B40" s="28" t="n">
        <v>0</v>
      </c>
      <c r="C40" s="28" t="n">
        <v>200000</v>
      </c>
      <c r="D40" s="28" t="n">
        <v>0</v>
      </c>
      <c r="E40" s="28" t="n">
        <v>0</v>
      </c>
      <c r="F40" s="28" t="n">
        <v>0</v>
      </c>
      <c r="G40" s="28" t="n">
        <v>0</v>
      </c>
      <c r="H40" s="28" t="n">
        <v>0</v>
      </c>
      <c r="I40" s="10" t="s">
        <v>258</v>
      </c>
      <c r="J40" s="10" t="s">
        <v>264</v>
      </c>
      <c r="K40" s="14" t="s">
        <v>294</v>
      </c>
    </row>
    <row r="41" customFormat="false" ht="15" hidden="false" customHeight="false" outlineLevel="0" collapsed="false">
      <c r="A41" s="11" t="s">
        <v>295</v>
      </c>
      <c r="B41" s="28" t="n">
        <v>0</v>
      </c>
      <c r="C41" s="28" t="n">
        <v>0</v>
      </c>
      <c r="D41" s="28" t="n">
        <v>750000</v>
      </c>
      <c r="E41" s="28" t="n">
        <v>750000</v>
      </c>
      <c r="F41" s="28" t="n">
        <v>0</v>
      </c>
      <c r="G41" s="28" t="n">
        <v>0</v>
      </c>
      <c r="H41" s="28" t="n">
        <v>0</v>
      </c>
      <c r="I41" s="10" t="s">
        <v>258</v>
      </c>
      <c r="J41" s="10" t="s">
        <v>264</v>
      </c>
      <c r="K41" s="14" t="s">
        <v>296</v>
      </c>
    </row>
    <row r="42" customFormat="false" ht="15" hidden="false" customHeight="false" outlineLevel="0" collapsed="false">
      <c r="A42" s="11" t="s">
        <v>297</v>
      </c>
      <c r="B42" s="28" t="n">
        <v>0</v>
      </c>
      <c r="C42" s="28" t="n">
        <v>0</v>
      </c>
      <c r="D42" s="28" t="n">
        <v>0</v>
      </c>
      <c r="E42" s="28" t="n">
        <v>0</v>
      </c>
      <c r="F42" s="28" t="n">
        <v>0</v>
      </c>
      <c r="G42" s="28" t="n">
        <v>0</v>
      </c>
      <c r="H42" s="28" t="n">
        <v>500</v>
      </c>
      <c r="I42" s="10" t="s">
        <v>264</v>
      </c>
      <c r="J42" s="10" t="s">
        <v>264</v>
      </c>
      <c r="K42" s="14" t="s">
        <v>298</v>
      </c>
    </row>
    <row r="43" customFormat="false" ht="15" hidden="false" customHeight="false" outlineLevel="0" collapsed="false">
      <c r="A43" s="11" t="s">
        <v>299</v>
      </c>
      <c r="B43" s="28" t="n">
        <v>0</v>
      </c>
      <c r="C43" s="28" t="n">
        <v>0</v>
      </c>
      <c r="D43" s="28" t="n">
        <v>0</v>
      </c>
      <c r="E43" s="28" t="n">
        <v>0</v>
      </c>
      <c r="F43" s="28" t="n">
        <v>0</v>
      </c>
      <c r="G43" s="28" t="n">
        <v>0</v>
      </c>
      <c r="H43" s="28" t="n">
        <v>500</v>
      </c>
      <c r="I43" s="10" t="s">
        <v>264</v>
      </c>
      <c r="J43" s="10" t="s">
        <v>264</v>
      </c>
      <c r="K43" s="14" t="s">
        <v>300</v>
      </c>
    </row>
    <row r="44" customFormat="false" ht="15" hidden="false" customHeight="false" outlineLevel="0" collapsed="false">
      <c r="A44" s="11" t="s">
        <v>301</v>
      </c>
      <c r="B44" s="28" t="n">
        <v>0</v>
      </c>
      <c r="C44" s="28" t="n">
        <v>0</v>
      </c>
      <c r="D44" s="28" t="n">
        <v>0</v>
      </c>
      <c r="E44" s="28" t="n">
        <v>0</v>
      </c>
      <c r="F44" s="28" t="n">
        <v>0</v>
      </c>
      <c r="G44" s="28" t="n">
        <v>0</v>
      </c>
      <c r="H44" s="28" t="n">
        <v>1000</v>
      </c>
      <c r="I44" s="10" t="s">
        <v>264</v>
      </c>
      <c r="J44" s="10" t="s">
        <v>264</v>
      </c>
      <c r="K44" s="14" t="s">
        <v>300</v>
      </c>
    </row>
    <row r="45" customFormat="false" ht="15" hidden="false" customHeight="false" outlineLevel="0" collapsed="false">
      <c r="A45" s="11" t="s">
        <v>302</v>
      </c>
      <c r="B45" s="28" t="n">
        <v>0</v>
      </c>
      <c r="C45" s="28" t="n">
        <v>0</v>
      </c>
      <c r="D45" s="28" t="n">
        <v>0</v>
      </c>
      <c r="E45" s="28" t="n">
        <v>7280000</v>
      </c>
      <c r="F45" s="28" t="n">
        <v>0</v>
      </c>
      <c r="G45" s="28" t="n">
        <v>0</v>
      </c>
      <c r="H45" s="28" t="n">
        <v>0</v>
      </c>
      <c r="I45" s="10" t="s">
        <v>264</v>
      </c>
      <c r="J45" s="10" t="s">
        <v>264</v>
      </c>
      <c r="K45" s="14" t="s">
        <v>303</v>
      </c>
    </row>
    <row r="46" customFormat="false" ht="15" hidden="false" customHeight="false" outlineLevel="0" collapsed="false">
      <c r="A46" s="11" t="s">
        <v>304</v>
      </c>
      <c r="B46" s="28" t="n">
        <v>0</v>
      </c>
      <c r="C46" s="28" t="n">
        <v>0</v>
      </c>
      <c r="D46" s="28" t="n">
        <v>0</v>
      </c>
      <c r="E46" s="28" t="n">
        <v>0</v>
      </c>
      <c r="F46" s="28" t="n">
        <v>0</v>
      </c>
      <c r="G46" s="28" t="n">
        <v>0</v>
      </c>
      <c r="H46" s="28" t="n">
        <v>0</v>
      </c>
      <c r="I46" s="10" t="s">
        <v>258</v>
      </c>
      <c r="J46" s="10" t="s">
        <v>264</v>
      </c>
      <c r="K46" s="14" t="s">
        <v>305</v>
      </c>
    </row>
    <row r="47" customFormat="false" ht="15" hidden="false" customHeight="false" outlineLevel="0" collapsed="false">
      <c r="A47" s="11" t="s">
        <v>306</v>
      </c>
      <c r="B47" s="28" t="n">
        <v>0</v>
      </c>
      <c r="C47" s="28" t="n">
        <v>0</v>
      </c>
      <c r="D47" s="28" t="n">
        <v>0</v>
      </c>
      <c r="E47" s="28" t="n">
        <v>0</v>
      </c>
      <c r="F47" s="28" t="n">
        <v>0</v>
      </c>
      <c r="G47" s="28" t="n">
        <v>0</v>
      </c>
      <c r="H47" s="28" t="n">
        <v>0</v>
      </c>
      <c r="I47" s="10" t="s">
        <v>258</v>
      </c>
      <c r="J47" s="10" t="s">
        <v>264</v>
      </c>
      <c r="K47" s="14" t="s">
        <v>305</v>
      </c>
    </row>
    <row r="48" customFormat="false" ht="15" hidden="false" customHeight="false" outlineLevel="0" collapsed="false">
      <c r="A48" s="11" t="s">
        <v>307</v>
      </c>
      <c r="B48" s="28" t="n">
        <v>900000</v>
      </c>
      <c r="C48" s="28" t="n">
        <v>0</v>
      </c>
      <c r="D48" s="28" t="n">
        <v>0</v>
      </c>
      <c r="E48" s="28" t="n">
        <v>0</v>
      </c>
      <c r="F48" s="28" t="n">
        <v>0</v>
      </c>
      <c r="G48" s="28" t="n">
        <v>0</v>
      </c>
      <c r="H48" s="28" t="n">
        <v>0</v>
      </c>
      <c r="I48" s="10" t="s">
        <v>258</v>
      </c>
      <c r="J48" s="10" t="s">
        <v>264</v>
      </c>
      <c r="K48" s="14" t="s">
        <v>308</v>
      </c>
    </row>
    <row r="49" customFormat="false" ht="15" hidden="false" customHeight="false" outlineLevel="0" collapsed="false">
      <c r="A49" s="11" t="s">
        <v>309</v>
      </c>
      <c r="B49" s="28" t="n">
        <v>0</v>
      </c>
      <c r="C49" s="28" t="n">
        <v>0</v>
      </c>
      <c r="D49" s="28" t="n">
        <v>0</v>
      </c>
      <c r="E49" s="28" t="n">
        <v>0</v>
      </c>
      <c r="F49" s="28" t="n">
        <v>0</v>
      </c>
      <c r="G49" s="28" t="n">
        <v>30</v>
      </c>
      <c r="H49" s="28" t="n">
        <v>90</v>
      </c>
      <c r="I49" s="10" t="s">
        <v>258</v>
      </c>
      <c r="J49" s="10" t="s">
        <v>258</v>
      </c>
      <c r="K49" s="14" t="s">
        <v>310</v>
      </c>
    </row>
    <row r="50" customFormat="false" ht="15" hidden="false" customHeight="false" outlineLevel="0" collapsed="false">
      <c r="A50" s="11" t="s">
        <v>311</v>
      </c>
      <c r="B50" s="28" t="n">
        <v>0</v>
      </c>
      <c r="C50" s="28" t="n">
        <v>0</v>
      </c>
      <c r="D50" s="28" t="n">
        <v>0</v>
      </c>
      <c r="E50" s="28" t="n">
        <v>0</v>
      </c>
      <c r="F50" s="28" t="n">
        <v>0</v>
      </c>
      <c r="G50" s="28" t="n">
        <v>30</v>
      </c>
      <c r="H50" s="28" t="n">
        <v>90</v>
      </c>
      <c r="I50" s="10" t="s">
        <v>264</v>
      </c>
      <c r="J50" s="10" t="s">
        <v>264</v>
      </c>
      <c r="K50" s="14" t="s">
        <v>312</v>
      </c>
    </row>
    <row r="51" customFormat="false" ht="15" hidden="false" customHeight="false" outlineLevel="0" collapsed="false">
      <c r="A51" s="11" t="s">
        <v>313</v>
      </c>
      <c r="B51" s="28" t="s">
        <v>260</v>
      </c>
      <c r="C51" s="28" t="s">
        <v>262</v>
      </c>
      <c r="D51" s="28" t="s">
        <v>314</v>
      </c>
      <c r="E51" s="28" t="s">
        <v>315</v>
      </c>
      <c r="F51" s="28" t="s">
        <v>309</v>
      </c>
      <c r="G51" s="28" t="s">
        <v>316</v>
      </c>
      <c r="H51" s="28" t="s">
        <v>289</v>
      </c>
      <c r="I51" s="10" t="s">
        <v>291</v>
      </c>
      <c r="J51" s="10" t="s">
        <v>258</v>
      </c>
      <c r="K51" s="14" t="s">
        <v>286</v>
      </c>
    </row>
    <row r="52" customFormat="false" ht="15" hidden="false" customHeight="false" outlineLevel="0" collapsed="false">
      <c r="A52" s="11" t="s">
        <v>317</v>
      </c>
      <c r="B52" s="28" t="n">
        <v>3300000</v>
      </c>
      <c r="C52" s="28" t="n">
        <v>0</v>
      </c>
      <c r="D52" s="28" t="n">
        <v>0</v>
      </c>
      <c r="E52" s="28" t="n">
        <v>0</v>
      </c>
      <c r="F52" s="28" t="n">
        <v>0</v>
      </c>
      <c r="G52" s="28" t="n">
        <v>0</v>
      </c>
      <c r="H52" s="28" t="n">
        <v>0</v>
      </c>
      <c r="I52" s="10" t="s">
        <v>258</v>
      </c>
      <c r="J52" s="10" t="s">
        <v>258</v>
      </c>
      <c r="K52" s="14" t="s">
        <v>318</v>
      </c>
    </row>
    <row r="53" customFormat="false" ht="15" hidden="false" customHeight="false" outlineLevel="0" collapsed="false">
      <c r="A53" s="11" t="s">
        <v>319</v>
      </c>
      <c r="B53" s="28" t="n">
        <v>0</v>
      </c>
      <c r="C53" s="28" t="n">
        <v>250000</v>
      </c>
      <c r="D53" s="28" t="n">
        <v>0</v>
      </c>
      <c r="E53" s="28" t="n">
        <v>0</v>
      </c>
      <c r="F53" s="28" t="n">
        <v>0</v>
      </c>
      <c r="G53" s="28" t="n">
        <v>0</v>
      </c>
      <c r="H53" s="28" t="n">
        <v>0</v>
      </c>
      <c r="I53" s="10" t="s">
        <v>258</v>
      </c>
      <c r="J53" s="10" t="s">
        <v>264</v>
      </c>
      <c r="K53" s="14" t="s">
        <v>320</v>
      </c>
    </row>
    <row r="54" customFormat="false" ht="15" hidden="false" customHeight="false" outlineLevel="0" collapsed="false">
      <c r="A54" s="11" t="s">
        <v>321</v>
      </c>
      <c r="B54" s="28" t="n">
        <v>0</v>
      </c>
      <c r="C54" s="28" t="n">
        <v>0</v>
      </c>
      <c r="D54" s="28" t="n">
        <v>0</v>
      </c>
      <c r="E54" s="28" t="n">
        <v>0</v>
      </c>
      <c r="F54" s="28" t="n">
        <v>0</v>
      </c>
      <c r="G54" s="28" t="n">
        <v>0</v>
      </c>
      <c r="H54" s="28" t="n">
        <v>500</v>
      </c>
      <c r="I54" s="10" t="s">
        <v>258</v>
      </c>
      <c r="J54" s="10" t="s">
        <v>258</v>
      </c>
      <c r="K54" s="14" t="s">
        <v>322</v>
      </c>
    </row>
    <row r="55" customFormat="false" ht="15" hidden="false" customHeight="false" outlineLevel="0" collapsed="false">
      <c r="A55" s="11" t="s">
        <v>323</v>
      </c>
      <c r="B55" s="28" t="n">
        <v>0</v>
      </c>
      <c r="C55" s="28" t="n">
        <v>0</v>
      </c>
      <c r="D55" s="28" t="n">
        <v>0</v>
      </c>
      <c r="E55" s="28" t="n">
        <v>0</v>
      </c>
      <c r="F55" s="28" t="n">
        <v>0</v>
      </c>
      <c r="G55" s="28" t="n">
        <v>0</v>
      </c>
      <c r="H55" s="28" t="n">
        <v>200</v>
      </c>
      <c r="I55" s="10" t="s">
        <v>258</v>
      </c>
      <c r="J55" s="10" t="s">
        <v>258</v>
      </c>
      <c r="K55" s="14" t="s">
        <v>324</v>
      </c>
    </row>
    <row r="56" customFormat="false" ht="15" hidden="false" customHeight="false" outlineLevel="0" collapsed="false">
      <c r="A56" s="11" t="s">
        <v>325</v>
      </c>
      <c r="B56" s="28" t="n">
        <v>0</v>
      </c>
      <c r="C56" s="28" t="n">
        <v>0</v>
      </c>
      <c r="D56" s="28" t="n">
        <v>0</v>
      </c>
      <c r="E56" s="28" t="n">
        <v>0</v>
      </c>
      <c r="F56" s="28" t="n">
        <v>0</v>
      </c>
      <c r="G56" s="28" t="n">
        <v>0</v>
      </c>
      <c r="H56" s="28" t="n">
        <v>402</v>
      </c>
      <c r="I56" s="10" t="s">
        <v>258</v>
      </c>
      <c r="J56" s="10" t="s">
        <v>258</v>
      </c>
      <c r="K56" s="14" t="s">
        <v>326</v>
      </c>
    </row>
    <row r="57" customFormat="false" ht="15" hidden="false" customHeight="false" outlineLevel="0" collapsed="false">
      <c r="A57" s="11" t="s">
        <v>327</v>
      </c>
      <c r="B57" s="28" t="n">
        <v>0</v>
      </c>
      <c r="C57" s="28" t="n">
        <v>0</v>
      </c>
      <c r="D57" s="28" t="n">
        <v>0</v>
      </c>
      <c r="E57" s="28" t="n">
        <v>0</v>
      </c>
      <c r="F57" s="28" t="n">
        <v>0</v>
      </c>
      <c r="G57" s="28" t="n">
        <v>0</v>
      </c>
      <c r="H57" s="28" t="n">
        <v>0</v>
      </c>
      <c r="I57" s="10" t="s">
        <v>258</v>
      </c>
      <c r="J57" s="10" t="s">
        <v>264</v>
      </c>
      <c r="K57" s="14" t="s">
        <v>328</v>
      </c>
    </row>
    <row r="58" customFormat="false" ht="15" hidden="false" customHeight="false" outlineLevel="0" collapsed="false">
      <c r="A58" s="11" t="s">
        <v>329</v>
      </c>
      <c r="B58" s="28" t="n">
        <v>0</v>
      </c>
      <c r="C58" s="28" t="n">
        <v>0</v>
      </c>
      <c r="D58" s="28" t="n">
        <v>136000</v>
      </c>
      <c r="E58" s="28" t="n">
        <v>136000</v>
      </c>
      <c r="F58" s="28" t="n">
        <v>0</v>
      </c>
      <c r="G58" s="28" t="n">
        <v>0</v>
      </c>
      <c r="H58" s="28" t="n">
        <v>0</v>
      </c>
      <c r="I58" s="10" t="s">
        <v>258</v>
      </c>
      <c r="J58" s="10" t="s">
        <v>264</v>
      </c>
      <c r="K58" s="14" t="s">
        <v>330</v>
      </c>
    </row>
    <row r="59" customFormat="false" ht="15" hidden="false" customHeight="false" outlineLevel="0" collapsed="false">
      <c r="A59" s="11" t="s">
        <v>331</v>
      </c>
      <c r="B59" s="28" t="n">
        <v>750000</v>
      </c>
      <c r="C59" s="28" t="n">
        <v>0</v>
      </c>
      <c r="D59" s="28" t="n">
        <v>0</v>
      </c>
      <c r="E59" s="28" t="n">
        <v>0</v>
      </c>
      <c r="F59" s="28" t="n">
        <v>0</v>
      </c>
      <c r="G59" s="28" t="n">
        <v>0</v>
      </c>
      <c r="H59" s="28" t="n">
        <v>0</v>
      </c>
      <c r="I59" s="10" t="s">
        <v>258</v>
      </c>
      <c r="J59" s="10" t="s">
        <v>264</v>
      </c>
      <c r="K59" s="14" t="s">
        <v>332</v>
      </c>
    </row>
    <row r="60" customFormat="false" ht="15" hidden="false" customHeight="false" outlineLevel="0" collapsed="false">
      <c r="A60" s="11" t="s">
        <v>333</v>
      </c>
      <c r="B60" s="28" t="n">
        <v>750000</v>
      </c>
      <c r="C60" s="28" t="n">
        <v>0</v>
      </c>
      <c r="D60" s="28" t="n">
        <v>0</v>
      </c>
      <c r="E60" s="28" t="n">
        <v>0</v>
      </c>
      <c r="F60" s="28" t="n">
        <v>0</v>
      </c>
      <c r="G60" s="28" t="n">
        <v>0</v>
      </c>
      <c r="H60" s="28" t="n">
        <v>0</v>
      </c>
      <c r="I60" s="10" t="s">
        <v>258</v>
      </c>
      <c r="J60" s="10" t="s">
        <v>264</v>
      </c>
      <c r="K60" s="14" t="s">
        <v>334</v>
      </c>
    </row>
    <row r="61" customFormat="false" ht="15" hidden="false" customHeight="false" outlineLevel="0" collapsed="false">
      <c r="A61" s="11" t="s">
        <v>335</v>
      </c>
      <c r="B61" s="28" t="n">
        <v>750000</v>
      </c>
      <c r="C61" s="28" t="n">
        <v>0</v>
      </c>
      <c r="D61" s="28" t="n">
        <v>0</v>
      </c>
      <c r="E61" s="28" t="n">
        <v>0</v>
      </c>
      <c r="F61" s="28" t="n">
        <v>0</v>
      </c>
      <c r="G61" s="28" t="n">
        <v>0</v>
      </c>
      <c r="H61" s="28" t="n">
        <v>0</v>
      </c>
      <c r="I61" s="10" t="s">
        <v>258</v>
      </c>
      <c r="J61" s="10" t="s">
        <v>264</v>
      </c>
      <c r="K61" s="14" t="s">
        <v>334</v>
      </c>
    </row>
    <row r="62" customFormat="false" ht="15" hidden="false" customHeight="false" outlineLevel="0" collapsed="false">
      <c r="A62" s="11" t="s">
        <v>336</v>
      </c>
      <c r="B62" s="28" t="n">
        <v>750000</v>
      </c>
      <c r="C62" s="28" t="n">
        <v>0</v>
      </c>
      <c r="D62" s="28" t="n">
        <v>0</v>
      </c>
      <c r="E62" s="28" t="n">
        <v>0</v>
      </c>
      <c r="F62" s="28" t="n">
        <v>0</v>
      </c>
      <c r="G62" s="28" t="n">
        <v>0</v>
      </c>
      <c r="H62" s="28" t="n">
        <v>0</v>
      </c>
      <c r="I62" s="10" t="s">
        <v>258</v>
      </c>
      <c r="J62" s="10" t="s">
        <v>264</v>
      </c>
      <c r="K62" s="14" t="s">
        <v>334</v>
      </c>
    </row>
    <row r="63" customFormat="false" ht="15" hidden="false" customHeight="false" outlineLevel="0" collapsed="false">
      <c r="A63" s="11" t="s">
        <v>337</v>
      </c>
      <c r="B63" s="28" t="n">
        <v>750000</v>
      </c>
      <c r="C63" s="28" t="n">
        <v>0</v>
      </c>
      <c r="D63" s="28" t="n">
        <v>0</v>
      </c>
      <c r="E63" s="28" t="n">
        <v>0</v>
      </c>
      <c r="F63" s="28" t="n">
        <v>0</v>
      </c>
      <c r="G63" s="28" t="n">
        <v>0</v>
      </c>
      <c r="H63" s="28" t="n">
        <v>0</v>
      </c>
      <c r="I63" s="10" t="s">
        <v>258</v>
      </c>
      <c r="J63" s="10" t="s">
        <v>264</v>
      </c>
      <c r="K63" s="14" t="s">
        <v>334</v>
      </c>
    </row>
    <row r="64" customFormat="false" ht="15" hidden="false" customHeight="false" outlineLevel="0" collapsed="false">
      <c r="A64" s="11" t="s">
        <v>338</v>
      </c>
      <c r="B64" s="28" t="n">
        <v>750000</v>
      </c>
      <c r="C64" s="28" t="n">
        <v>0</v>
      </c>
      <c r="D64" s="28" t="n">
        <v>0</v>
      </c>
      <c r="E64" s="28" t="n">
        <v>0</v>
      </c>
      <c r="F64" s="28" t="n">
        <v>0</v>
      </c>
      <c r="G64" s="28" t="n">
        <v>0</v>
      </c>
      <c r="H64" s="28" t="n">
        <v>0</v>
      </c>
      <c r="I64" s="10" t="s">
        <v>258</v>
      </c>
      <c r="J64" s="10" t="s">
        <v>264</v>
      </c>
      <c r="K64" s="14" t="s">
        <v>334</v>
      </c>
    </row>
    <row r="65" customFormat="false" ht="15" hidden="false" customHeight="false" outlineLevel="0" collapsed="false">
      <c r="A65" s="11" t="s">
        <v>339</v>
      </c>
      <c r="B65" s="28" t="n">
        <v>750000</v>
      </c>
      <c r="C65" s="28" t="n">
        <v>0</v>
      </c>
      <c r="D65" s="28" t="n">
        <v>0</v>
      </c>
      <c r="E65" s="28" t="n">
        <v>0</v>
      </c>
      <c r="F65" s="28" t="n">
        <v>0</v>
      </c>
      <c r="G65" s="28" t="n">
        <v>0</v>
      </c>
      <c r="H65" s="28" t="n">
        <v>0</v>
      </c>
      <c r="I65" s="10" t="s">
        <v>258</v>
      </c>
      <c r="J65" s="10" t="s">
        <v>264</v>
      </c>
      <c r="K65" s="14" t="s">
        <v>334</v>
      </c>
    </row>
    <row r="66" customFormat="false" ht="15" hidden="false" customHeight="false" outlineLevel="0" collapsed="false">
      <c r="A66" s="11" t="s">
        <v>340</v>
      </c>
      <c r="B66" s="28" t="n">
        <v>750000</v>
      </c>
      <c r="C66" s="28" t="n">
        <v>0</v>
      </c>
      <c r="D66" s="28" t="n">
        <v>0</v>
      </c>
      <c r="E66" s="28" t="n">
        <v>0</v>
      </c>
      <c r="F66" s="28" t="n">
        <v>0</v>
      </c>
      <c r="G66" s="28" t="n">
        <v>0</v>
      </c>
      <c r="H66" s="28" t="n">
        <v>0</v>
      </c>
      <c r="I66" s="10" t="s">
        <v>258</v>
      </c>
      <c r="J66" s="10" t="s">
        <v>264</v>
      </c>
      <c r="K66" s="14" t="s">
        <v>334</v>
      </c>
    </row>
    <row r="67" customFormat="false" ht="15" hidden="false" customHeight="false" outlineLevel="0" collapsed="false">
      <c r="A67" s="11" t="s">
        <v>316</v>
      </c>
      <c r="B67" s="28" t="n">
        <v>0</v>
      </c>
      <c r="C67" s="28" t="n">
        <v>250000</v>
      </c>
      <c r="D67" s="28" t="n">
        <v>0</v>
      </c>
      <c r="E67" s="28" t="n">
        <v>0</v>
      </c>
      <c r="F67" s="28" t="n">
        <v>0</v>
      </c>
      <c r="G67" s="28" t="n">
        <v>0</v>
      </c>
      <c r="H67" s="28" t="n">
        <v>0</v>
      </c>
      <c r="I67" s="10" t="s">
        <v>258</v>
      </c>
      <c r="J67" s="10" t="s">
        <v>258</v>
      </c>
      <c r="K67" s="14" t="s">
        <v>341</v>
      </c>
    </row>
    <row r="68" customFormat="false" ht="15" hidden="false" customHeight="false" outlineLevel="0" collapsed="false">
      <c r="A68" s="11" t="s">
        <v>315</v>
      </c>
      <c r="B68" s="28" t="n">
        <v>0</v>
      </c>
      <c r="C68" s="28" t="n">
        <v>0</v>
      </c>
      <c r="D68" s="28" t="n">
        <v>0</v>
      </c>
      <c r="E68" s="28" t="n">
        <v>0</v>
      </c>
      <c r="F68" s="28" t="n">
        <v>0</v>
      </c>
      <c r="G68" s="28" t="n">
        <v>0</v>
      </c>
      <c r="H68" s="28" t="n">
        <v>0</v>
      </c>
      <c r="I68" s="10" t="s">
        <v>258</v>
      </c>
      <c r="J68" s="10" t="s">
        <v>258</v>
      </c>
      <c r="K68" s="14" t="s">
        <v>342</v>
      </c>
    </row>
    <row r="69" customFormat="false" ht="15" hidden="false" customHeight="false" outlineLevel="0" collapsed="false">
      <c r="A69" s="11" t="s">
        <v>343</v>
      </c>
      <c r="B69" s="28" t="n">
        <v>581600</v>
      </c>
      <c r="C69" s="28" t="n">
        <v>0</v>
      </c>
      <c r="D69" s="28" t="n">
        <v>0</v>
      </c>
      <c r="E69" s="28" t="n">
        <v>0</v>
      </c>
      <c r="F69" s="28" t="n">
        <v>104</v>
      </c>
      <c r="G69" s="28" t="n">
        <v>280</v>
      </c>
      <c r="H69" s="28" t="n">
        <v>0</v>
      </c>
      <c r="I69" s="10" t="s">
        <v>258</v>
      </c>
      <c r="J69" s="10" t="s">
        <v>258</v>
      </c>
      <c r="K69" s="14" t="s">
        <v>344</v>
      </c>
    </row>
    <row r="70" customFormat="false" ht="15" hidden="false" customHeight="false" outlineLevel="0" collapsed="false">
      <c r="A70" s="11" t="s">
        <v>345</v>
      </c>
      <c r="B70" s="28" t="n">
        <v>120000</v>
      </c>
      <c r="C70" s="28" t="n">
        <v>0</v>
      </c>
      <c r="D70" s="28" t="n">
        <v>0</v>
      </c>
      <c r="E70" s="28" t="n">
        <v>0</v>
      </c>
      <c r="F70" s="28" t="n">
        <v>0</v>
      </c>
      <c r="G70" s="28" t="n">
        <v>64</v>
      </c>
      <c r="H70" s="28" t="n">
        <v>0</v>
      </c>
      <c r="I70" s="10" t="s">
        <v>258</v>
      </c>
      <c r="J70" s="10" t="s">
        <v>258</v>
      </c>
      <c r="K70" s="14" t="s">
        <v>346</v>
      </c>
    </row>
    <row r="71" customFormat="false" ht="15" hidden="false" customHeight="false" outlineLevel="0" collapsed="false">
      <c r="A71" s="11" t="s">
        <v>347</v>
      </c>
      <c r="B71" s="28" t="n">
        <v>1455000</v>
      </c>
      <c r="C71" s="28" t="n">
        <v>0</v>
      </c>
      <c r="D71" s="28" t="n">
        <v>0</v>
      </c>
      <c r="E71" s="28" t="n">
        <v>0</v>
      </c>
      <c r="F71" s="28" t="n">
        <v>0</v>
      </c>
      <c r="G71" s="28" t="n">
        <v>0</v>
      </c>
      <c r="H71" s="28" t="n">
        <v>0</v>
      </c>
      <c r="I71" s="10" t="s">
        <v>264</v>
      </c>
      <c r="J71" s="10" t="s">
        <v>264</v>
      </c>
      <c r="K71" s="14" t="s">
        <v>348</v>
      </c>
    </row>
    <row r="72" customFormat="false" ht="15" hidden="false" customHeight="false" outlineLevel="0" collapsed="false">
      <c r="A72" s="11"/>
      <c r="B72" s="28"/>
      <c r="C72" s="28"/>
      <c r="D72" s="28"/>
      <c r="E72" s="28"/>
      <c r="F72" s="28"/>
      <c r="G72" s="28"/>
      <c r="H72" s="28"/>
      <c r="I72" s="10"/>
      <c r="J72" s="10"/>
      <c r="K72" s="11"/>
    </row>
    <row r="73" customFormat="false" ht="15" hidden="false" customHeight="false" outlineLevel="0" collapsed="false">
      <c r="A73" s="11"/>
      <c r="B73" s="28"/>
      <c r="C73" s="28"/>
      <c r="D73" s="28"/>
      <c r="E73" s="28"/>
      <c r="F73" s="28"/>
      <c r="G73" s="28"/>
      <c r="H73" s="28"/>
      <c r="I73" s="10"/>
      <c r="J73" s="10"/>
      <c r="K73" s="11"/>
    </row>
    <row r="74" customFormat="false" ht="15" hidden="false" customHeight="false" outlineLevel="0" collapsed="false">
      <c r="A74" s="11"/>
      <c r="B74" s="28"/>
      <c r="C74" s="28"/>
      <c r="D74" s="28"/>
      <c r="E74" s="28"/>
      <c r="F74" s="28"/>
      <c r="G74" s="28"/>
      <c r="H74" s="28"/>
      <c r="I74" s="10"/>
      <c r="J74" s="10"/>
      <c r="K74" s="11"/>
    </row>
    <row r="75" customFormat="false" ht="15" hidden="false" customHeight="false" outlineLevel="0" collapsed="false">
      <c r="A75" s="11"/>
      <c r="B75" s="28"/>
      <c r="C75" s="28"/>
      <c r="D75" s="28"/>
      <c r="E75" s="28"/>
      <c r="F75" s="28"/>
      <c r="G75" s="28"/>
      <c r="H75" s="28"/>
      <c r="I75" s="10"/>
      <c r="J75" s="10"/>
      <c r="K75" s="11"/>
    </row>
    <row r="76" customFormat="false" ht="15" hidden="false" customHeight="false" outlineLevel="0" collapsed="false">
      <c r="A76" s="11"/>
      <c r="B76" s="28"/>
      <c r="C76" s="28"/>
      <c r="D76" s="28"/>
      <c r="E76" s="28"/>
      <c r="F76" s="28"/>
      <c r="G76" s="28"/>
      <c r="H76" s="28"/>
      <c r="I76" s="10"/>
      <c r="J76" s="10"/>
      <c r="K76" s="11"/>
    </row>
    <row r="77" customFormat="false" ht="15" hidden="false" customHeight="false" outlineLevel="0" collapsed="false">
      <c r="A77" s="11"/>
      <c r="B77" s="28"/>
      <c r="C77" s="28"/>
      <c r="D77" s="28"/>
      <c r="E77" s="28"/>
      <c r="F77" s="28"/>
      <c r="G77" s="28"/>
      <c r="H77" s="28"/>
      <c r="I77" s="10"/>
      <c r="J77" s="10"/>
      <c r="K77" s="11"/>
    </row>
    <row r="78" customFormat="false" ht="15" hidden="false" customHeight="false" outlineLevel="0" collapsed="false">
      <c r="A78" s="11"/>
      <c r="B78" s="28"/>
      <c r="C78" s="28"/>
      <c r="D78" s="28"/>
      <c r="E78" s="28"/>
      <c r="F78" s="28"/>
      <c r="G78" s="28"/>
      <c r="H78" s="28"/>
      <c r="I78" s="10"/>
      <c r="J78" s="10"/>
      <c r="K78" s="11"/>
    </row>
    <row r="79" customFormat="false" ht="15" hidden="false" customHeight="false" outlineLevel="0" collapsed="false">
      <c r="A79" s="11"/>
      <c r="B79" s="28"/>
      <c r="C79" s="28"/>
      <c r="D79" s="28"/>
      <c r="E79" s="28"/>
      <c r="F79" s="28"/>
      <c r="G79" s="28"/>
      <c r="H79" s="28"/>
      <c r="I79" s="10"/>
      <c r="J79" s="10"/>
      <c r="K79" s="11"/>
    </row>
    <row r="80" customFormat="false" ht="15" hidden="false" customHeight="false" outlineLevel="0" collapsed="false">
      <c r="A80" s="11"/>
      <c r="B80" s="28"/>
      <c r="C80" s="28"/>
      <c r="D80" s="28"/>
      <c r="E80" s="28"/>
      <c r="F80" s="28"/>
      <c r="G80" s="28"/>
      <c r="H80" s="28"/>
      <c r="I80" s="10"/>
      <c r="J80" s="10"/>
      <c r="K80" s="11"/>
    </row>
    <row r="81" customFormat="false" ht="15" hidden="false" customHeight="false" outlineLevel="0" collapsed="false">
      <c r="A81" s="11"/>
      <c r="B81" s="28"/>
      <c r="C81" s="28"/>
      <c r="D81" s="28"/>
      <c r="E81" s="28"/>
      <c r="F81" s="28"/>
      <c r="G81" s="28"/>
      <c r="H81" s="28"/>
      <c r="I81" s="10"/>
      <c r="J81" s="10"/>
      <c r="K81" s="11"/>
    </row>
    <row r="83" customFormat="false" ht="15" hidden="false" customHeight="false" outlineLevel="0" collapsed="false">
      <c r="A83" s="22" t="s">
        <v>349</v>
      </c>
    </row>
    <row r="84" customFormat="false" ht="26.85" hidden="false" customHeight="false" outlineLevel="0" collapsed="false">
      <c r="A84" s="3" t="s">
        <v>350</v>
      </c>
      <c r="B84" s="3" t="s">
        <v>240</v>
      </c>
      <c r="C84" s="3" t="s">
        <v>241</v>
      </c>
      <c r="D84" s="3" t="s">
        <v>242</v>
      </c>
      <c r="E84" s="3" t="s">
        <v>243</v>
      </c>
      <c r="F84" s="3" t="s">
        <v>244</v>
      </c>
      <c r="G84" s="3" t="s">
        <v>245</v>
      </c>
      <c r="H84" s="3" t="s">
        <v>246</v>
      </c>
      <c r="I84" s="3" t="s">
        <v>10</v>
      </c>
      <c r="J84" s="3" t="s">
        <v>12</v>
      </c>
      <c r="K84" s="3" t="s">
        <v>13</v>
      </c>
    </row>
    <row r="85" customFormat="false" ht="15" hidden="false" customHeight="false" outlineLevel="0" collapsed="false">
      <c r="A85" s="11" t="s">
        <v>351</v>
      </c>
      <c r="B85" s="28" t="n">
        <v>1837500</v>
      </c>
      <c r="C85" s="28" t="n">
        <v>0</v>
      </c>
      <c r="D85" s="28" t="n">
        <v>0</v>
      </c>
      <c r="E85" s="28" t="n">
        <v>0</v>
      </c>
      <c r="F85" s="28" t="n">
        <v>2</v>
      </c>
      <c r="G85" s="28" t="n">
        <v>1</v>
      </c>
      <c r="H85" s="28" t="n">
        <v>183</v>
      </c>
      <c r="I85" s="28" t="n">
        <v>0</v>
      </c>
      <c r="J85" s="10" t="s">
        <v>352</v>
      </c>
      <c r="K85" s="14" t="s">
        <v>353</v>
      </c>
    </row>
    <row r="86" customFormat="false" ht="15" hidden="false" customHeight="false" outlineLevel="0" collapsed="false">
      <c r="A86" s="11" t="s">
        <v>354</v>
      </c>
      <c r="B86" s="28" t="n">
        <v>0</v>
      </c>
      <c r="C86" s="28" t="n">
        <v>359800</v>
      </c>
      <c r="D86" s="28" t="n">
        <v>0</v>
      </c>
      <c r="E86" s="28" t="n">
        <v>0</v>
      </c>
      <c r="F86" s="28" t="n">
        <v>0</v>
      </c>
      <c r="G86" s="28" t="n">
        <v>0</v>
      </c>
      <c r="H86" s="28" t="n">
        <v>0</v>
      </c>
      <c r="I86" s="28" t="n">
        <v>0</v>
      </c>
      <c r="J86" s="10" t="s">
        <v>352</v>
      </c>
      <c r="K86" s="14"/>
    </row>
    <row r="87" customFormat="false" ht="15" hidden="false" customHeight="false" outlineLevel="0" collapsed="false">
      <c r="A87" s="11" t="s">
        <v>355</v>
      </c>
      <c r="B87" s="28" t="n">
        <v>9791250</v>
      </c>
      <c r="C87" s="28" t="n">
        <v>0</v>
      </c>
      <c r="D87" s="28" t="n">
        <v>0</v>
      </c>
      <c r="E87" s="28" t="n">
        <v>0</v>
      </c>
      <c r="F87" s="28" t="n">
        <v>1</v>
      </c>
      <c r="G87" s="28" t="n">
        <v>0</v>
      </c>
      <c r="H87" s="28" t="n">
        <v>979</v>
      </c>
      <c r="I87" s="28" t="n">
        <v>55000000</v>
      </c>
      <c r="J87" s="10" t="s">
        <v>352</v>
      </c>
      <c r="K87" s="14" t="s">
        <v>356</v>
      </c>
    </row>
    <row r="88" customFormat="false" ht="15" hidden="false" customHeight="false" outlineLevel="0" collapsed="false">
      <c r="A88" s="11" t="s">
        <v>357</v>
      </c>
      <c r="B88" s="28" t="n">
        <v>0</v>
      </c>
      <c r="C88" s="28" t="n">
        <v>359800</v>
      </c>
      <c r="D88" s="28" t="n">
        <v>0</v>
      </c>
      <c r="E88" s="28" t="n">
        <v>0</v>
      </c>
      <c r="F88" s="28" t="n">
        <v>0</v>
      </c>
      <c r="G88" s="28" t="n">
        <v>0</v>
      </c>
      <c r="H88" s="28" t="n">
        <v>0</v>
      </c>
      <c r="I88" s="28" t="n">
        <v>0</v>
      </c>
      <c r="J88" s="10" t="s">
        <v>352</v>
      </c>
      <c r="K88" s="14" t="s">
        <v>356</v>
      </c>
    </row>
    <row r="89" customFormat="false" ht="15" hidden="false" customHeight="false" outlineLevel="0" collapsed="false">
      <c r="A89" s="11" t="s">
        <v>358</v>
      </c>
      <c r="B89" s="25"/>
      <c r="C89" s="28" t="n">
        <v>0</v>
      </c>
      <c r="D89" s="28" t="n">
        <v>0</v>
      </c>
      <c r="E89" s="28" t="n">
        <v>0</v>
      </c>
      <c r="F89" s="25"/>
      <c r="G89" s="25"/>
      <c r="H89" s="25"/>
      <c r="I89" s="28" t="n">
        <v>3000000</v>
      </c>
      <c r="J89" s="10" t="s">
        <v>359</v>
      </c>
      <c r="K89" s="14" t="s">
        <v>360</v>
      </c>
    </row>
    <row r="90" customFormat="false" ht="15" hidden="false" customHeight="false" outlineLevel="0" collapsed="false">
      <c r="A90" s="11" t="s">
        <v>361</v>
      </c>
      <c r="B90" s="25"/>
      <c r="C90" s="28" t="n">
        <v>0</v>
      </c>
      <c r="D90" s="28" t="n">
        <v>0</v>
      </c>
      <c r="E90" s="28" t="n">
        <v>0</v>
      </c>
      <c r="F90" s="25"/>
      <c r="G90" s="25"/>
      <c r="H90" s="25"/>
      <c r="I90" s="28" t="n">
        <v>3000000</v>
      </c>
      <c r="J90" s="10" t="s">
        <v>362</v>
      </c>
      <c r="K90" s="14" t="s">
        <v>363</v>
      </c>
    </row>
    <row r="91" customFormat="false" ht="15" hidden="false" customHeight="false" outlineLevel="0" collapsed="false">
      <c r="A91" s="11" t="s">
        <v>364</v>
      </c>
      <c r="B91" s="28" t="n">
        <v>1650010</v>
      </c>
      <c r="C91" s="28" t="n">
        <v>0</v>
      </c>
      <c r="D91" s="28" t="n">
        <v>0</v>
      </c>
      <c r="E91" s="28" t="n">
        <v>0</v>
      </c>
      <c r="F91" s="28" t="n">
        <v>3</v>
      </c>
      <c r="G91" s="28" t="n">
        <v>1</v>
      </c>
      <c r="H91" s="28" t="n">
        <v>164</v>
      </c>
      <c r="I91" s="28" t="n">
        <v>3000000</v>
      </c>
      <c r="J91" s="10" t="s">
        <v>352</v>
      </c>
      <c r="K91" s="14" t="s">
        <v>365</v>
      </c>
    </row>
    <row r="92" customFormat="false" ht="15" hidden="false" customHeight="false" outlineLevel="0" collapsed="false">
      <c r="A92" s="11" t="s">
        <v>366</v>
      </c>
      <c r="B92" s="28" t="n">
        <v>1650000</v>
      </c>
      <c r="C92" s="28" t="n">
        <v>0</v>
      </c>
      <c r="D92" s="28" t="n">
        <v>0</v>
      </c>
      <c r="E92" s="28" t="n">
        <v>0</v>
      </c>
      <c r="F92" s="28" t="n">
        <v>3</v>
      </c>
      <c r="G92" s="28" t="n">
        <v>1</v>
      </c>
      <c r="H92" s="28" t="n">
        <v>164</v>
      </c>
      <c r="I92" s="28" t="n">
        <v>3000000</v>
      </c>
      <c r="J92" s="10" t="s">
        <v>352</v>
      </c>
      <c r="K92" s="14" t="s">
        <v>367</v>
      </c>
    </row>
    <row r="93" customFormat="false" ht="15" hidden="false" customHeight="false" outlineLevel="0" collapsed="false">
      <c r="A93" s="11" t="s">
        <v>368</v>
      </c>
      <c r="B93" s="28" t="n">
        <v>1650000</v>
      </c>
      <c r="C93" s="28" t="n">
        <v>0</v>
      </c>
      <c r="D93" s="28" t="n">
        <v>0</v>
      </c>
      <c r="E93" s="28" t="n">
        <v>0</v>
      </c>
      <c r="F93" s="28" t="n">
        <v>3</v>
      </c>
      <c r="G93" s="28" t="n">
        <v>1</v>
      </c>
      <c r="H93" s="28" t="n">
        <v>164</v>
      </c>
      <c r="I93" s="28" t="n">
        <v>3000000</v>
      </c>
      <c r="J93" s="10" t="s">
        <v>359</v>
      </c>
      <c r="K93" s="14" t="s">
        <v>369</v>
      </c>
    </row>
    <row r="94" customFormat="false" ht="15" hidden="false" customHeight="false" outlineLevel="0" collapsed="false">
      <c r="A94" s="11" t="s">
        <v>370</v>
      </c>
      <c r="B94" s="25"/>
      <c r="C94" s="28" t="n">
        <v>0</v>
      </c>
      <c r="D94" s="28" t="n">
        <v>0</v>
      </c>
      <c r="E94" s="28" t="n">
        <v>0</v>
      </c>
      <c r="F94" s="28" t="n">
        <v>0</v>
      </c>
      <c r="G94" s="28" t="n">
        <v>0</v>
      </c>
      <c r="H94" s="28" t="n">
        <v>0</v>
      </c>
      <c r="I94" s="28" t="n">
        <v>17000000</v>
      </c>
      <c r="J94" s="10" t="s">
        <v>362</v>
      </c>
      <c r="K94" s="14" t="s">
        <v>371</v>
      </c>
    </row>
    <row r="95" customFormat="false" ht="15" hidden="false" customHeight="false" outlineLevel="0" collapsed="false">
      <c r="A95" s="11" t="s">
        <v>372</v>
      </c>
      <c r="B95" s="28" t="n">
        <v>9800000</v>
      </c>
      <c r="C95" s="28" t="n">
        <v>0</v>
      </c>
      <c r="D95" s="28" t="n">
        <v>0</v>
      </c>
      <c r="E95" s="28" t="n">
        <v>0</v>
      </c>
      <c r="F95" s="28" t="n">
        <v>4</v>
      </c>
      <c r="G95" s="28" t="n">
        <v>1</v>
      </c>
      <c r="H95" s="28" t="n">
        <v>979</v>
      </c>
      <c r="I95" s="28" t="n">
        <v>0</v>
      </c>
      <c r="J95" s="10" t="s">
        <v>352</v>
      </c>
      <c r="K95" s="14" t="s">
        <v>373</v>
      </c>
    </row>
    <row r="96" customFormat="false" ht="15" hidden="false" customHeight="false" outlineLevel="0" collapsed="false">
      <c r="A96" s="11" t="s">
        <v>374</v>
      </c>
      <c r="B96" s="28" t="n">
        <v>4092000</v>
      </c>
      <c r="C96" s="28" t="n">
        <v>0</v>
      </c>
      <c r="D96" s="28" t="n">
        <v>0</v>
      </c>
      <c r="E96" s="28" t="n">
        <v>0</v>
      </c>
      <c r="F96" s="28" t="n">
        <v>0</v>
      </c>
      <c r="G96" s="28" t="n">
        <v>0</v>
      </c>
      <c r="H96" s="28" t="n">
        <v>0</v>
      </c>
      <c r="I96" s="28" t="n">
        <v>0</v>
      </c>
      <c r="J96" s="10" t="s">
        <v>352</v>
      </c>
      <c r="K96" s="14" t="s">
        <v>375</v>
      </c>
    </row>
    <row r="97" customFormat="false" ht="15" hidden="false" customHeight="false" outlineLevel="0" collapsed="false">
      <c r="A97" s="11" t="s">
        <v>376</v>
      </c>
      <c r="B97" s="28" t="n">
        <v>7820000</v>
      </c>
      <c r="C97" s="28" t="n">
        <v>0</v>
      </c>
      <c r="D97" s="28" t="n">
        <v>0</v>
      </c>
      <c r="E97" s="28" t="n">
        <v>0</v>
      </c>
      <c r="F97" s="28" t="n">
        <v>2</v>
      </c>
      <c r="G97" s="28" t="n">
        <v>1</v>
      </c>
      <c r="H97" s="28" t="n">
        <v>682</v>
      </c>
      <c r="I97" s="28" t="n">
        <v>0</v>
      </c>
      <c r="J97" s="10" t="s">
        <v>352</v>
      </c>
      <c r="K97" s="14" t="s">
        <v>377</v>
      </c>
    </row>
    <row r="98" customFormat="false" ht="15" hidden="false" customHeight="false" outlineLevel="0" collapsed="false">
      <c r="A98" s="11" t="s">
        <v>378</v>
      </c>
      <c r="B98" s="28" t="n">
        <v>0</v>
      </c>
      <c r="C98" s="28" t="n">
        <v>1710000</v>
      </c>
      <c r="D98" s="28" t="n">
        <v>1710000</v>
      </c>
      <c r="E98" s="28" t="n">
        <v>2640000</v>
      </c>
      <c r="F98" s="28" t="n">
        <v>0</v>
      </c>
      <c r="G98" s="28" t="n">
        <v>0</v>
      </c>
      <c r="H98" s="28" t="n">
        <v>0</v>
      </c>
      <c r="I98" s="28" t="n">
        <v>17000000</v>
      </c>
      <c r="J98" s="10" t="s">
        <v>352</v>
      </c>
      <c r="K98" s="14" t="s">
        <v>379</v>
      </c>
    </row>
    <row r="99" customFormat="false" ht="15" hidden="false" customHeight="false" outlineLevel="0" collapsed="false">
      <c r="A99" s="11" t="s">
        <v>380</v>
      </c>
      <c r="B99" s="28" t="n">
        <v>9800000</v>
      </c>
      <c r="C99" s="28" t="n">
        <v>0</v>
      </c>
      <c r="D99" s="28" t="n">
        <v>0</v>
      </c>
      <c r="E99" s="28" t="n">
        <v>0</v>
      </c>
      <c r="F99" s="28" t="n">
        <v>4</v>
      </c>
      <c r="G99" s="28" t="n">
        <v>377</v>
      </c>
      <c r="H99" s="28" t="n">
        <v>791</v>
      </c>
      <c r="I99" s="28" t="n">
        <v>3000000</v>
      </c>
      <c r="J99" s="10" t="s">
        <v>352</v>
      </c>
      <c r="K99" s="14" t="s">
        <v>373</v>
      </c>
    </row>
    <row r="100" customFormat="false" ht="15" hidden="false" customHeight="false" outlineLevel="0" collapsed="false">
      <c r="A100" s="11" t="s">
        <v>381</v>
      </c>
      <c r="B100" s="28" t="n">
        <v>3702000</v>
      </c>
      <c r="C100" s="28" t="n">
        <v>0</v>
      </c>
      <c r="D100" s="28" t="n">
        <v>0</v>
      </c>
      <c r="E100" s="28" t="n">
        <v>0</v>
      </c>
      <c r="F100" s="28" t="n">
        <v>0</v>
      </c>
      <c r="G100" s="28" t="n">
        <v>0</v>
      </c>
      <c r="H100" s="28" t="n">
        <v>0</v>
      </c>
      <c r="I100" s="28" t="n">
        <v>0</v>
      </c>
      <c r="J100" s="10" t="s">
        <v>352</v>
      </c>
      <c r="K100" s="14" t="s">
        <v>382</v>
      </c>
    </row>
    <row r="101" customFormat="false" ht="15" hidden="false" customHeight="false" outlineLevel="0" collapsed="false">
      <c r="A101" s="11" t="s">
        <v>383</v>
      </c>
      <c r="B101" s="28" t="n">
        <v>0</v>
      </c>
      <c r="C101" s="28" t="n">
        <v>570000</v>
      </c>
      <c r="D101" s="28" t="n">
        <v>929800</v>
      </c>
      <c r="E101" s="28" t="n">
        <v>0</v>
      </c>
      <c r="F101" s="28" t="n">
        <v>0</v>
      </c>
      <c r="G101" s="28" t="n">
        <v>0</v>
      </c>
      <c r="H101" s="28" t="n">
        <v>0</v>
      </c>
      <c r="I101" s="28" t="n">
        <v>0</v>
      </c>
      <c r="J101" s="10" t="s">
        <v>352</v>
      </c>
      <c r="K101" s="14" t="s">
        <v>384</v>
      </c>
    </row>
    <row r="102" customFormat="false" ht="15" hidden="false" customHeight="false" outlineLevel="0" collapsed="false">
      <c r="A102" s="11" t="s">
        <v>385</v>
      </c>
      <c r="B102" s="28" t="n">
        <v>3312000</v>
      </c>
      <c r="C102" s="28" t="n">
        <v>0</v>
      </c>
      <c r="D102" s="28" t="n">
        <v>0</v>
      </c>
      <c r="E102" s="28" t="n">
        <v>0</v>
      </c>
      <c r="F102" s="28" t="n">
        <v>0</v>
      </c>
      <c r="G102" s="28" t="n">
        <v>0</v>
      </c>
      <c r="H102" s="28" t="n">
        <v>0</v>
      </c>
      <c r="I102" s="28" t="n">
        <v>0</v>
      </c>
      <c r="J102" s="10" t="s">
        <v>362</v>
      </c>
      <c r="K102" s="14" t="s">
        <v>386</v>
      </c>
    </row>
    <row r="103" customFormat="false" ht="15" hidden="false" customHeight="false" outlineLevel="0" collapsed="false">
      <c r="A103" s="11" t="s">
        <v>387</v>
      </c>
      <c r="B103" s="28" t="n">
        <v>4900000</v>
      </c>
      <c r="C103" s="28" t="n">
        <v>0</v>
      </c>
      <c r="D103" s="28" t="n">
        <v>0</v>
      </c>
      <c r="E103" s="28" t="n">
        <v>0</v>
      </c>
      <c r="F103" s="28" t="n">
        <v>0</v>
      </c>
      <c r="G103" s="28" t="n">
        <v>0</v>
      </c>
      <c r="H103" s="28" t="n">
        <v>0</v>
      </c>
      <c r="I103" s="28" t="n">
        <v>0</v>
      </c>
      <c r="J103" s="10" t="s">
        <v>352</v>
      </c>
      <c r="K103" s="14" t="s">
        <v>388</v>
      </c>
    </row>
    <row r="104" customFormat="false" ht="15" hidden="false" customHeight="false" outlineLevel="0" collapsed="false">
      <c r="A104" s="11" t="s">
        <v>389</v>
      </c>
      <c r="B104" s="28" t="n">
        <v>4242695</v>
      </c>
      <c r="C104" s="28" t="n">
        <v>0</v>
      </c>
      <c r="D104" s="28" t="n">
        <v>0</v>
      </c>
      <c r="E104" s="28" t="n">
        <v>0</v>
      </c>
      <c r="F104" s="28" t="n">
        <v>0</v>
      </c>
      <c r="G104" s="28" t="n">
        <v>0</v>
      </c>
      <c r="H104" s="28" t="n">
        <v>0</v>
      </c>
      <c r="I104" s="28" t="n">
        <v>0</v>
      </c>
      <c r="J104" s="10" t="s">
        <v>352</v>
      </c>
      <c r="K104" s="14" t="s">
        <v>390</v>
      </c>
    </row>
    <row r="105" customFormat="false" ht="15" hidden="false" customHeight="false" outlineLevel="0" collapsed="false">
      <c r="A105" s="11" t="s">
        <v>391</v>
      </c>
      <c r="B105" s="28" t="n">
        <v>0</v>
      </c>
      <c r="C105" s="28" t="n">
        <v>74800</v>
      </c>
      <c r="D105" s="28" t="n">
        <v>0</v>
      </c>
      <c r="E105" s="28" t="n">
        <v>74800</v>
      </c>
      <c r="F105" s="28" t="n">
        <v>0</v>
      </c>
      <c r="G105" s="28" t="n">
        <v>0</v>
      </c>
      <c r="H105" s="28" t="n">
        <v>0</v>
      </c>
      <c r="I105" s="28" t="n">
        <v>0</v>
      </c>
      <c r="J105" s="10" t="s">
        <v>352</v>
      </c>
      <c r="K105" s="14" t="s">
        <v>392</v>
      </c>
    </row>
    <row r="106" customFormat="false" ht="15" hidden="false" customHeight="false" outlineLevel="0" collapsed="false">
      <c r="A106" s="11" t="s">
        <v>393</v>
      </c>
      <c r="B106" s="28" t="n">
        <v>0</v>
      </c>
      <c r="C106" s="28" t="n">
        <v>1710500</v>
      </c>
      <c r="D106" s="28" t="n">
        <v>1710000</v>
      </c>
      <c r="E106" s="28" t="n">
        <v>2640000</v>
      </c>
      <c r="F106" s="28" t="n">
        <v>0</v>
      </c>
      <c r="G106" s="28" t="n">
        <v>0</v>
      </c>
      <c r="H106" s="28" t="n">
        <v>0</v>
      </c>
      <c r="I106" s="28" t="n">
        <v>17000000</v>
      </c>
      <c r="J106" s="10" t="s">
        <v>352</v>
      </c>
      <c r="K106" s="14" t="s">
        <v>394</v>
      </c>
    </row>
    <row r="107" customFormat="false" ht="15" hidden="false" customHeight="false" outlineLevel="0" collapsed="false">
      <c r="A107" s="11" t="s">
        <v>395</v>
      </c>
      <c r="B107" s="28" t="n">
        <v>0</v>
      </c>
      <c r="C107" s="28" t="n">
        <v>1370000</v>
      </c>
      <c r="D107" s="28" t="n">
        <v>1370000</v>
      </c>
      <c r="E107" s="28" t="n">
        <v>2130000</v>
      </c>
      <c r="F107" s="28" t="n">
        <v>0</v>
      </c>
      <c r="G107" s="28" t="n">
        <v>0</v>
      </c>
      <c r="H107" s="28" t="n">
        <v>0</v>
      </c>
      <c r="I107" s="28" t="n">
        <v>17000000</v>
      </c>
      <c r="J107" s="10" t="s">
        <v>352</v>
      </c>
      <c r="K107" s="14" t="s">
        <v>396</v>
      </c>
    </row>
    <row r="108" customFormat="false" ht="15" hidden="false" customHeight="false" outlineLevel="0" collapsed="false">
      <c r="A108" s="11" t="s">
        <v>397</v>
      </c>
      <c r="B108" s="28" t="n">
        <v>0</v>
      </c>
      <c r="C108" s="28" t="n">
        <v>1710000</v>
      </c>
      <c r="D108" s="28" t="n">
        <v>1710000</v>
      </c>
      <c r="E108" s="28" t="n">
        <v>2640000</v>
      </c>
      <c r="F108" s="28" t="n">
        <v>0</v>
      </c>
      <c r="G108" s="28" t="n">
        <v>0</v>
      </c>
      <c r="H108" s="28" t="n">
        <v>0</v>
      </c>
      <c r="I108" s="28" t="n">
        <v>17000000</v>
      </c>
      <c r="J108" s="10" t="s">
        <v>352</v>
      </c>
      <c r="K108" s="14" t="s">
        <v>398</v>
      </c>
    </row>
    <row r="109" customFormat="false" ht="15" hidden="false" customHeight="false" outlineLevel="0" collapsed="false">
      <c r="A109" s="11" t="s">
        <v>399</v>
      </c>
      <c r="B109" s="28" t="n">
        <v>0</v>
      </c>
      <c r="C109" s="28" t="n">
        <v>1710000</v>
      </c>
      <c r="D109" s="28" t="n">
        <v>1710000</v>
      </c>
      <c r="E109" s="28" t="n">
        <v>2640000</v>
      </c>
      <c r="F109" s="28" t="n">
        <v>0</v>
      </c>
      <c r="G109" s="28" t="n">
        <v>0</v>
      </c>
      <c r="H109" s="28" t="n">
        <v>0</v>
      </c>
      <c r="I109" s="28" t="n">
        <v>17000000</v>
      </c>
      <c r="J109" s="10" t="s">
        <v>352</v>
      </c>
      <c r="K109" s="14" t="s">
        <v>400</v>
      </c>
    </row>
    <row r="110" customFormat="false" ht="15" hidden="false" customHeight="false" outlineLevel="0" collapsed="false">
      <c r="A110" s="11" t="s">
        <v>378</v>
      </c>
      <c r="B110" s="28" t="n">
        <v>0</v>
      </c>
      <c r="C110" s="25"/>
      <c r="D110" s="25"/>
      <c r="E110" s="25"/>
      <c r="F110" s="28" t="n">
        <v>0</v>
      </c>
      <c r="G110" s="28" t="n">
        <v>0</v>
      </c>
      <c r="H110" s="28" t="n">
        <v>0</v>
      </c>
      <c r="I110" s="28" t="n">
        <v>17000000</v>
      </c>
      <c r="J110" s="10" t="s">
        <v>359</v>
      </c>
      <c r="K110" s="14" t="s">
        <v>371</v>
      </c>
    </row>
    <row r="111" customFormat="false" ht="15" hidden="false" customHeight="false" outlineLevel="0" collapsed="false">
      <c r="A111" s="11" t="s">
        <v>401</v>
      </c>
      <c r="B111" s="28" t="n">
        <v>13000000</v>
      </c>
      <c r="C111" s="28" t="n">
        <v>0</v>
      </c>
      <c r="D111" s="28" t="n">
        <v>0</v>
      </c>
      <c r="E111" s="28" t="n">
        <v>0</v>
      </c>
      <c r="F111" s="25"/>
      <c r="G111" s="25"/>
      <c r="H111" s="25"/>
      <c r="I111" s="28" t="n">
        <v>8000000</v>
      </c>
      <c r="J111" s="10" t="s">
        <v>359</v>
      </c>
      <c r="K111" s="14" t="s">
        <v>402</v>
      </c>
    </row>
    <row r="112" customFormat="false" ht="15" hidden="false" customHeight="false" outlineLevel="0" collapsed="false">
      <c r="A112" s="11"/>
      <c r="B112" s="28"/>
      <c r="C112" s="28"/>
      <c r="D112" s="28"/>
      <c r="E112" s="28"/>
      <c r="F112" s="28"/>
      <c r="G112" s="28"/>
      <c r="H112" s="28"/>
      <c r="I112" s="28"/>
      <c r="J112" s="10"/>
      <c r="K112" s="11"/>
    </row>
    <row r="113" customFormat="false" ht="15" hidden="false" customHeight="false" outlineLevel="0" collapsed="false">
      <c r="A113" s="11"/>
      <c r="B113" s="28"/>
      <c r="C113" s="28"/>
      <c r="D113" s="28"/>
      <c r="E113" s="28"/>
      <c r="F113" s="28"/>
      <c r="G113" s="28"/>
      <c r="H113" s="28"/>
      <c r="I113" s="28"/>
      <c r="J113" s="10"/>
      <c r="K113" s="11"/>
    </row>
    <row r="114" customFormat="false" ht="15" hidden="false" customHeight="false" outlineLevel="0" collapsed="false">
      <c r="A114" s="11"/>
      <c r="B114" s="28"/>
      <c r="C114" s="28"/>
      <c r="D114" s="28"/>
      <c r="E114" s="28"/>
      <c r="F114" s="28"/>
      <c r="G114" s="28"/>
      <c r="H114" s="28"/>
      <c r="I114" s="28"/>
      <c r="J114" s="10"/>
      <c r="K114" s="11"/>
    </row>
    <row r="115" customFormat="false" ht="15" hidden="false" customHeight="false" outlineLevel="0" collapsed="false">
      <c r="A115" s="11"/>
      <c r="B115" s="28"/>
      <c r="C115" s="28"/>
      <c r="D115" s="28"/>
      <c r="E115" s="28"/>
      <c r="F115" s="28"/>
      <c r="G115" s="28"/>
      <c r="H115" s="28"/>
      <c r="I115" s="28"/>
      <c r="J115" s="10"/>
      <c r="K115" s="11"/>
    </row>
    <row r="116" customFormat="false" ht="15" hidden="false" customHeight="false" outlineLevel="0" collapsed="false">
      <c r="A116" s="11"/>
      <c r="B116" s="28"/>
      <c r="C116" s="28"/>
      <c r="D116" s="28"/>
      <c r="E116" s="28"/>
      <c r="F116" s="28"/>
      <c r="G116" s="28"/>
      <c r="H116" s="28"/>
      <c r="I116" s="28"/>
      <c r="J116" s="10"/>
      <c r="K116" s="11"/>
    </row>
    <row r="117" customFormat="false" ht="15" hidden="false" customHeight="false" outlineLevel="0" collapsed="false">
      <c r="A117" s="11"/>
      <c r="B117" s="28"/>
      <c r="C117" s="28"/>
      <c r="D117" s="28"/>
      <c r="E117" s="28"/>
      <c r="F117" s="28"/>
      <c r="G117" s="28"/>
      <c r="H117" s="28"/>
      <c r="I117" s="28"/>
      <c r="J117" s="10"/>
      <c r="K117" s="11"/>
    </row>
    <row r="119" customFormat="false" ht="15" hidden="false" customHeight="false" outlineLevel="0" collapsed="false">
      <c r="A119" s="15" t="s">
        <v>403</v>
      </c>
      <c r="I119" s="19" t="n">
        <f aca="false">SUMIF(J85:J117,"Planned",I85:I117)</f>
        <v>20000000</v>
      </c>
    </row>
  </sheetData>
  <conditionalFormatting sqref="B9:H9">
    <cfRule type="cellIs" priority="2" operator="lessThan" aboveAverage="0" equalAverage="0" bottom="0" percent="0" rank="0" text="" dxfId="11">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404</v>
      </c>
    </row>
    <row r="2" customFormat="false" ht="15" hidden="false" customHeight="false" outlineLevel="0" collapsed="false">
      <c r="A2" s="2" t="s">
        <v>405</v>
      </c>
    </row>
    <row r="4" customFormat="false" ht="26.85" hidden="false" customHeight="false" outlineLevel="0" collapsed="false">
      <c r="A4" s="3" t="s">
        <v>406</v>
      </c>
      <c r="B4" s="3" t="s">
        <v>407</v>
      </c>
      <c r="C4" s="3" t="s">
        <v>240</v>
      </c>
      <c r="D4" s="3" t="s">
        <v>408</v>
      </c>
      <c r="E4" s="3" t="s">
        <v>409</v>
      </c>
      <c r="F4" s="3" t="s">
        <v>410</v>
      </c>
      <c r="G4" s="3" t="s">
        <v>411</v>
      </c>
      <c r="H4" s="3" t="s">
        <v>412</v>
      </c>
      <c r="I4" s="3" t="s">
        <v>413</v>
      </c>
      <c r="J4" s="3" t="s">
        <v>414</v>
      </c>
      <c r="K4" s="3" t="s">
        <v>415</v>
      </c>
      <c r="L4" s="3" t="s">
        <v>416</v>
      </c>
    </row>
    <row r="5" customFormat="false" ht="15" hidden="false" customHeight="false" outlineLevel="0" collapsed="false">
      <c r="A5" s="29" t="s">
        <v>417</v>
      </c>
    </row>
    <row r="6" customFormat="false" ht="15" hidden="false" customHeight="false" outlineLevel="0" collapsed="false">
      <c r="A6" s="12" t="s">
        <v>418</v>
      </c>
      <c r="B6" s="12" t="s">
        <v>419</v>
      </c>
      <c r="C6" s="23" t="n">
        <v>25000</v>
      </c>
      <c r="D6" s="14" t="s">
        <v>420</v>
      </c>
      <c r="E6" s="30" t="s">
        <v>352</v>
      </c>
      <c r="F6" s="30" t="s">
        <v>352</v>
      </c>
      <c r="G6" s="30" t="s">
        <v>352</v>
      </c>
      <c r="H6" s="30" t="s">
        <v>352</v>
      </c>
      <c r="I6" s="30"/>
      <c r="J6" s="30"/>
      <c r="K6" s="30"/>
      <c r="L6" s="30"/>
    </row>
    <row r="7" customFormat="false" ht="15" hidden="false" customHeight="false" outlineLevel="0" collapsed="false">
      <c r="A7" s="12" t="s">
        <v>421</v>
      </c>
      <c r="B7" s="12" t="s">
        <v>419</v>
      </c>
      <c r="C7" s="23" t="n">
        <v>25000</v>
      </c>
      <c r="D7" s="14" t="s">
        <v>422</v>
      </c>
      <c r="E7" s="30" t="s">
        <v>352</v>
      </c>
      <c r="F7" s="30" t="s">
        <v>352</v>
      </c>
      <c r="G7" s="30" t="s">
        <v>352</v>
      </c>
      <c r="H7" s="30" t="s">
        <v>352</v>
      </c>
      <c r="I7" s="30"/>
      <c r="J7" s="30"/>
      <c r="K7" s="30"/>
      <c r="L7" s="30"/>
    </row>
    <row r="8" customFormat="false" ht="15" hidden="false" customHeight="false" outlineLevel="0" collapsed="false">
      <c r="A8" s="12" t="s">
        <v>423</v>
      </c>
      <c r="B8" s="12" t="s">
        <v>419</v>
      </c>
      <c r="C8" s="23" t="n">
        <v>50000</v>
      </c>
      <c r="D8" s="14" t="s">
        <v>424</v>
      </c>
      <c r="E8" s="30" t="s">
        <v>352</v>
      </c>
      <c r="F8" s="30" t="s">
        <v>352</v>
      </c>
      <c r="G8" s="30" t="s">
        <v>352</v>
      </c>
      <c r="H8" s="30" t="s">
        <v>352</v>
      </c>
      <c r="I8" s="30"/>
      <c r="J8" s="30"/>
      <c r="K8" s="30"/>
      <c r="L8" s="30"/>
    </row>
    <row r="9" customFormat="false" ht="15" hidden="false" customHeight="false" outlineLevel="0" collapsed="false">
      <c r="A9" s="12" t="s">
        <v>425</v>
      </c>
      <c r="B9" s="12" t="s">
        <v>419</v>
      </c>
      <c r="C9" s="23" t="n">
        <v>50000</v>
      </c>
      <c r="D9" s="14" t="s">
        <v>426</v>
      </c>
      <c r="E9" s="30" t="s">
        <v>352</v>
      </c>
      <c r="F9" s="30" t="s">
        <v>352</v>
      </c>
      <c r="G9" s="30" t="s">
        <v>352</v>
      </c>
      <c r="H9" s="30" t="s">
        <v>352</v>
      </c>
      <c r="I9" s="30"/>
      <c r="J9" s="30"/>
      <c r="K9" s="30"/>
      <c r="L9" s="30"/>
    </row>
    <row r="10" customFormat="false" ht="15" hidden="false" customHeight="false" outlineLevel="0" collapsed="false">
      <c r="A10" s="12" t="s">
        <v>427</v>
      </c>
      <c r="B10" s="12" t="s">
        <v>419</v>
      </c>
      <c r="C10" s="23" t="n">
        <v>50000</v>
      </c>
      <c r="D10" s="14" t="s">
        <v>424</v>
      </c>
      <c r="E10" s="30" t="s">
        <v>352</v>
      </c>
      <c r="F10" s="30" t="s">
        <v>352</v>
      </c>
      <c r="G10" s="30" t="s">
        <v>352</v>
      </c>
      <c r="H10" s="30" t="s">
        <v>352</v>
      </c>
      <c r="I10" s="30"/>
      <c r="J10" s="30"/>
      <c r="K10" s="30"/>
      <c r="L10" s="30"/>
    </row>
    <row r="11" customFormat="false" ht="15" hidden="false" customHeight="false" outlineLevel="0" collapsed="false">
      <c r="A11" s="12" t="s">
        <v>428</v>
      </c>
      <c r="B11" s="12" t="s">
        <v>419</v>
      </c>
      <c r="C11" s="23" t="n">
        <v>25000</v>
      </c>
      <c r="D11" s="14" t="s">
        <v>424</v>
      </c>
      <c r="E11" s="30" t="s">
        <v>352</v>
      </c>
      <c r="F11" s="30" t="s">
        <v>352</v>
      </c>
      <c r="G11" s="30" t="s">
        <v>352</v>
      </c>
      <c r="H11" s="30" t="s">
        <v>352</v>
      </c>
      <c r="I11" s="30"/>
      <c r="J11" s="30"/>
      <c r="K11" s="30"/>
      <c r="L11" s="30"/>
    </row>
    <row r="12" customFormat="false" ht="15" hidden="false" customHeight="false" outlineLevel="0" collapsed="false">
      <c r="A12" s="12" t="s">
        <v>429</v>
      </c>
      <c r="B12" s="12" t="s">
        <v>419</v>
      </c>
      <c r="C12" s="23" t="n">
        <v>25000</v>
      </c>
      <c r="D12" s="14" t="s">
        <v>430</v>
      </c>
      <c r="E12" s="30" t="s">
        <v>352</v>
      </c>
      <c r="F12" s="30" t="s">
        <v>352</v>
      </c>
      <c r="G12" s="30" t="s">
        <v>352</v>
      </c>
      <c r="H12" s="30" t="s">
        <v>352</v>
      </c>
      <c r="I12" s="30"/>
      <c r="J12" s="30"/>
      <c r="K12" s="30"/>
      <c r="L12" s="30"/>
    </row>
    <row r="13" customFormat="false" ht="15" hidden="false" customHeight="false" outlineLevel="0" collapsed="false">
      <c r="A13" s="12" t="s">
        <v>431</v>
      </c>
      <c r="B13" s="12" t="s">
        <v>419</v>
      </c>
      <c r="C13" s="23" t="n">
        <v>25000</v>
      </c>
      <c r="D13" s="14" t="s">
        <v>424</v>
      </c>
      <c r="E13" s="30" t="s">
        <v>352</v>
      </c>
      <c r="F13" s="30" t="s">
        <v>352</v>
      </c>
      <c r="G13" s="30" t="s">
        <v>352</v>
      </c>
      <c r="H13" s="30" t="s">
        <v>352</v>
      </c>
      <c r="I13" s="30"/>
      <c r="J13" s="30"/>
      <c r="K13" s="30"/>
      <c r="L13" s="30"/>
    </row>
    <row r="14" customFormat="false" ht="15" hidden="false" customHeight="false" outlineLevel="0" collapsed="false">
      <c r="A14" s="12" t="s">
        <v>432</v>
      </c>
      <c r="B14" s="12" t="s">
        <v>419</v>
      </c>
      <c r="C14" s="23" t="n">
        <v>50000</v>
      </c>
      <c r="D14" s="14" t="s">
        <v>433</v>
      </c>
      <c r="E14" s="30" t="s">
        <v>352</v>
      </c>
      <c r="F14" s="30" t="s">
        <v>352</v>
      </c>
      <c r="G14" s="30" t="s">
        <v>352</v>
      </c>
      <c r="H14" s="30" t="s">
        <v>352</v>
      </c>
      <c r="I14" s="30"/>
      <c r="J14" s="30"/>
      <c r="K14" s="30"/>
      <c r="L14" s="30"/>
    </row>
    <row r="15" customFormat="false" ht="15" hidden="false" customHeight="false" outlineLevel="0" collapsed="false">
      <c r="A15" s="12" t="s">
        <v>434</v>
      </c>
      <c r="B15" s="12" t="s">
        <v>419</v>
      </c>
      <c r="C15" s="23" t="n">
        <v>50000</v>
      </c>
      <c r="D15" s="14" t="s">
        <v>424</v>
      </c>
      <c r="E15" s="30" t="s">
        <v>352</v>
      </c>
      <c r="F15" s="30" t="s">
        <v>352</v>
      </c>
      <c r="G15" s="30" t="s">
        <v>352</v>
      </c>
      <c r="H15" s="30" t="s">
        <v>352</v>
      </c>
      <c r="I15" s="30"/>
      <c r="J15" s="30"/>
      <c r="K15" s="30"/>
      <c r="L15" s="30"/>
    </row>
    <row r="16" customFormat="false" ht="15" hidden="false" customHeight="false" outlineLevel="0" collapsed="false">
      <c r="A16" s="12" t="s">
        <v>435</v>
      </c>
      <c r="B16" s="12" t="s">
        <v>419</v>
      </c>
      <c r="C16" s="23" t="n">
        <v>1000000</v>
      </c>
      <c r="D16" s="14" t="s">
        <v>436</v>
      </c>
      <c r="E16" s="30" t="s">
        <v>352</v>
      </c>
      <c r="F16" s="30" t="s">
        <v>352</v>
      </c>
      <c r="G16" s="30" t="s">
        <v>352</v>
      </c>
      <c r="H16" s="30" t="s">
        <v>352</v>
      </c>
      <c r="I16" s="30"/>
      <c r="J16" s="30"/>
      <c r="K16" s="30"/>
      <c r="L16" s="30"/>
    </row>
    <row r="17" customFormat="false" ht="15" hidden="false" customHeight="false" outlineLevel="0" collapsed="false">
      <c r="A17" s="12" t="s">
        <v>437</v>
      </c>
      <c r="B17" s="12" t="s">
        <v>438</v>
      </c>
      <c r="C17" s="23" t="n">
        <v>100000</v>
      </c>
      <c r="D17" s="14" t="s">
        <v>439</v>
      </c>
      <c r="E17" s="30"/>
      <c r="F17" s="30" t="s">
        <v>352</v>
      </c>
      <c r="G17" s="30" t="s">
        <v>352</v>
      </c>
      <c r="H17" s="30" t="s">
        <v>352</v>
      </c>
      <c r="I17" s="30"/>
      <c r="J17" s="30"/>
      <c r="K17" s="30"/>
      <c r="L17" s="30"/>
    </row>
    <row r="18" customFormat="false" ht="15" hidden="false" customHeight="false" outlineLevel="0" collapsed="false">
      <c r="A18" s="12" t="s">
        <v>440</v>
      </c>
      <c r="B18" s="12" t="s">
        <v>438</v>
      </c>
      <c r="C18" s="23" t="n">
        <v>25000</v>
      </c>
      <c r="D18" s="14" t="s">
        <v>441</v>
      </c>
      <c r="E18" s="30" t="s">
        <v>352</v>
      </c>
      <c r="F18" s="30"/>
      <c r="G18" s="30"/>
      <c r="H18" s="30" t="s">
        <v>352</v>
      </c>
      <c r="I18" s="30"/>
      <c r="J18" s="30"/>
      <c r="K18" s="30"/>
      <c r="L18" s="30"/>
    </row>
    <row r="19" customFormat="false" ht="15" hidden="false" customHeight="false" outlineLevel="0" collapsed="false">
      <c r="A19" s="12" t="s">
        <v>442</v>
      </c>
      <c r="B19" s="12" t="s">
        <v>438</v>
      </c>
      <c r="C19" s="23" t="n">
        <v>25000</v>
      </c>
      <c r="D19" s="14" t="s">
        <v>443</v>
      </c>
      <c r="E19" s="30" t="s">
        <v>352</v>
      </c>
      <c r="F19" s="30" t="s">
        <v>352</v>
      </c>
      <c r="G19" s="30" t="s">
        <v>352</v>
      </c>
      <c r="H19" s="30" t="s">
        <v>352</v>
      </c>
      <c r="I19" s="30"/>
      <c r="J19" s="30"/>
      <c r="K19" s="30"/>
      <c r="L19" s="30"/>
    </row>
    <row r="20" customFormat="false" ht="15" hidden="false" customHeight="false" outlineLevel="0" collapsed="false">
      <c r="A20" s="12" t="s">
        <v>444</v>
      </c>
      <c r="B20" s="12" t="s">
        <v>438</v>
      </c>
      <c r="C20" s="23" t="n">
        <v>75000</v>
      </c>
      <c r="D20" s="14" t="s">
        <v>445</v>
      </c>
      <c r="E20" s="30" t="s">
        <v>352</v>
      </c>
      <c r="F20" s="30" t="s">
        <v>352</v>
      </c>
      <c r="G20" s="30" t="s">
        <v>352</v>
      </c>
      <c r="H20" s="30"/>
      <c r="I20" s="30"/>
      <c r="J20" s="30"/>
      <c r="K20" s="30"/>
      <c r="L20" s="30"/>
    </row>
    <row r="21" customFormat="false" ht="15" hidden="false" customHeight="false" outlineLevel="0" collapsed="false">
      <c r="A21" s="29" t="s">
        <v>446</v>
      </c>
    </row>
    <row r="22" customFormat="false" ht="15" hidden="false" customHeight="false" outlineLevel="0" collapsed="false">
      <c r="A22" s="12" t="s">
        <v>447</v>
      </c>
      <c r="B22" s="12" t="s">
        <v>448</v>
      </c>
      <c r="C22" s="23" t="n">
        <v>0</v>
      </c>
      <c r="D22" s="14" t="s">
        <v>449</v>
      </c>
      <c r="E22" s="30" t="s">
        <v>352</v>
      </c>
      <c r="F22" s="30" t="s">
        <v>352</v>
      </c>
      <c r="G22" s="30" t="s">
        <v>352</v>
      </c>
      <c r="H22" s="30"/>
      <c r="I22" s="30"/>
      <c r="J22" s="30"/>
      <c r="K22" s="30"/>
      <c r="L22" s="30"/>
    </row>
    <row r="23" customFormat="false" ht="15" hidden="false" customHeight="false" outlineLevel="0" collapsed="false">
      <c r="A23" s="12" t="s">
        <v>450</v>
      </c>
      <c r="B23" s="12" t="s">
        <v>448</v>
      </c>
      <c r="C23" s="23" t="n">
        <v>0</v>
      </c>
      <c r="D23" s="14" t="s">
        <v>449</v>
      </c>
      <c r="E23" s="30"/>
      <c r="F23" s="30"/>
      <c r="G23" s="30"/>
      <c r="H23" s="30"/>
      <c r="I23" s="30"/>
      <c r="J23" s="30"/>
      <c r="K23" s="30"/>
      <c r="L23" s="30"/>
    </row>
    <row r="24" customFormat="false" ht="15" hidden="false" customHeight="false" outlineLevel="0" collapsed="false">
      <c r="A24" s="12" t="s">
        <v>451</v>
      </c>
      <c r="B24" s="12" t="s">
        <v>448</v>
      </c>
      <c r="C24" s="23" t="n">
        <v>0</v>
      </c>
      <c r="D24" s="14" t="s">
        <v>449</v>
      </c>
      <c r="E24" s="30"/>
      <c r="F24" s="30"/>
      <c r="G24" s="30"/>
      <c r="H24" s="30"/>
      <c r="I24" s="30"/>
      <c r="J24" s="30"/>
      <c r="K24" s="30"/>
      <c r="L24" s="30"/>
    </row>
    <row r="25" customFormat="false" ht="15" hidden="false" customHeight="false" outlineLevel="0" collapsed="false">
      <c r="A25" s="12" t="s">
        <v>452</v>
      </c>
      <c r="B25" s="12" t="s">
        <v>453</v>
      </c>
      <c r="C25" s="23" t="n">
        <v>900000</v>
      </c>
      <c r="D25" s="14" t="s">
        <v>454</v>
      </c>
      <c r="E25" s="30" t="s">
        <v>352</v>
      </c>
      <c r="F25" s="30" t="s">
        <v>352</v>
      </c>
      <c r="G25" s="30"/>
      <c r="H25" s="30"/>
      <c r="I25" s="30"/>
      <c r="J25" s="30"/>
      <c r="K25" s="30"/>
      <c r="L25" s="30"/>
    </row>
    <row r="26" customFormat="false" ht="15" hidden="false" customHeight="false" outlineLevel="0" collapsed="false">
      <c r="A26" s="12" t="s">
        <v>455</v>
      </c>
      <c r="B26" s="12" t="s">
        <v>453</v>
      </c>
      <c r="C26" s="23" t="n">
        <v>0</v>
      </c>
      <c r="D26" s="14" t="s">
        <v>456</v>
      </c>
      <c r="E26" s="30" t="s">
        <v>352</v>
      </c>
      <c r="F26" s="30"/>
      <c r="G26" s="30" t="s">
        <v>352</v>
      </c>
      <c r="H26" s="30"/>
      <c r="I26" s="30"/>
      <c r="J26" s="30"/>
      <c r="K26" s="30"/>
      <c r="L26" s="30"/>
    </row>
    <row r="27" customFormat="false" ht="15" hidden="false" customHeight="false" outlineLevel="0" collapsed="false">
      <c r="A27" s="12" t="s">
        <v>457</v>
      </c>
      <c r="B27" s="12" t="s">
        <v>458</v>
      </c>
      <c r="C27" s="23" t="n">
        <v>0</v>
      </c>
      <c r="D27" s="14" t="s">
        <v>459</v>
      </c>
      <c r="E27" s="30"/>
      <c r="F27" s="30"/>
      <c r="G27" s="30"/>
      <c r="H27" s="30"/>
      <c r="I27" s="30"/>
      <c r="J27" s="30"/>
      <c r="K27" s="30"/>
      <c r="L27" s="30"/>
    </row>
    <row r="28" customFormat="false" ht="15" hidden="false" customHeight="false" outlineLevel="0" collapsed="false">
      <c r="A28" s="12" t="s">
        <v>460</v>
      </c>
      <c r="B28" s="12" t="s">
        <v>461</v>
      </c>
      <c r="C28" s="23" t="n">
        <v>0</v>
      </c>
      <c r="D28" s="14" t="s">
        <v>462</v>
      </c>
      <c r="E28" s="30"/>
      <c r="F28" s="30"/>
      <c r="G28" s="30"/>
      <c r="H28" s="30"/>
      <c r="I28" s="30"/>
      <c r="J28" s="30"/>
      <c r="K28" s="30"/>
      <c r="L28" s="30"/>
    </row>
    <row r="29" customFormat="false" ht="15" hidden="false" customHeight="false" outlineLevel="0" collapsed="false">
      <c r="A29" s="29" t="s">
        <v>463</v>
      </c>
    </row>
    <row r="30" customFormat="false" ht="15" hidden="false" customHeight="false" outlineLevel="0" collapsed="false">
      <c r="A30" s="12" t="s">
        <v>464</v>
      </c>
      <c r="B30" s="12" t="s">
        <v>465</v>
      </c>
      <c r="C30" s="23" t="n">
        <v>0</v>
      </c>
      <c r="D30" s="14" t="s">
        <v>466</v>
      </c>
      <c r="E30" s="30" t="s">
        <v>352</v>
      </c>
      <c r="F30" s="30"/>
      <c r="G30" s="30"/>
      <c r="H30" s="30"/>
      <c r="I30" s="30"/>
      <c r="J30" s="30"/>
      <c r="K30" s="30"/>
      <c r="L30" s="30"/>
    </row>
    <row r="31" customFormat="false" ht="15" hidden="false" customHeight="false" outlineLevel="0" collapsed="false">
      <c r="A31" s="12" t="s">
        <v>467</v>
      </c>
      <c r="B31" s="12" t="s">
        <v>468</v>
      </c>
      <c r="C31" s="23" t="n">
        <v>0</v>
      </c>
      <c r="D31" s="14" t="s">
        <v>469</v>
      </c>
      <c r="E31" s="30"/>
      <c r="F31" s="30"/>
      <c r="G31" s="30"/>
      <c r="H31" s="30"/>
      <c r="I31" s="30"/>
      <c r="J31" s="30"/>
      <c r="K31" s="30"/>
      <c r="L31" s="30"/>
    </row>
    <row r="33" customFormat="false" ht="15" hidden="false" customHeight="false" outlineLevel="0" collapsed="false">
      <c r="A33" s="15" t="s">
        <v>470</v>
      </c>
      <c r="E33" s="19" t="n">
        <f aca="false">SUMPRODUCT(($C$5:$C$31)*(E5:E31="Done"))</f>
        <v>2400000</v>
      </c>
      <c r="F33" s="19" t="n">
        <f aca="false">SUMPRODUCT(($C$5:$C$31)*(F5:F31="Done"))</f>
        <v>2475000</v>
      </c>
      <c r="G33" s="19" t="n">
        <f aca="false">SUMPRODUCT(($C$5:$C$31)*(G5:G31="Done"))</f>
        <v>1575000</v>
      </c>
      <c r="H33" s="19" t="n">
        <f aca="false">SUMPRODUCT(($C$5:$C$31)*(H5:H31="Done"))</f>
        <v>1525000</v>
      </c>
      <c r="I33" s="19" t="n">
        <f aca="false">SUMPRODUCT(($C$5:$C$31)*(I5:I31="Done"))</f>
        <v>0</v>
      </c>
      <c r="J33" s="19" t="n">
        <f aca="false">SUMPRODUCT(($C$5:$C$31)*(J5:J31="Done"))</f>
        <v>0</v>
      </c>
      <c r="K33" s="19" t="n">
        <f aca="false">SUMPRODUCT(($C$5:$C$31)*(K5:K31="Done"))</f>
        <v>0</v>
      </c>
      <c r="L33" s="19" t="n">
        <f aca="false">SUMPRODUCT(($C$5:$C$31)*(L5:L31="Done"))</f>
        <v>0</v>
      </c>
    </row>
    <row r="34" customFormat="false" ht="15" hidden="false" customHeight="false" outlineLevel="0" collapsed="false">
      <c r="A34" s="15" t="s">
        <v>471</v>
      </c>
      <c r="E34" s="31" t="str">
        <f aca="false">COUNTIFS($B$5:$B$31,"Required",E5:E31,"Done")&amp;" of 11"</f>
        <v>11 of 11</v>
      </c>
      <c r="F34" s="31" t="str">
        <f aca="false">COUNTIFS($B$5:$B$31,"Required",F5:F31,"Done")&amp;" of 11"</f>
        <v>11 of 11</v>
      </c>
      <c r="G34" s="31" t="str">
        <f aca="false">COUNTIFS($B$5:$B$31,"Required",G5:G31,"Done")&amp;" of 11"</f>
        <v>11 of 11</v>
      </c>
      <c r="H34" s="31" t="str">
        <f aca="false">COUNTIFS($B$5:$B$31,"Required",H5:H31,"Done")&amp;" of 11"</f>
        <v>11 of 11</v>
      </c>
      <c r="I34" s="31" t="str">
        <f aca="false">COUNTIFS($B$5:$B$31,"Required",I5:I31,"Done")&amp;" of 11"</f>
        <v>0 of 11</v>
      </c>
      <c r="J34" s="31" t="str">
        <f aca="false">COUNTIFS($B$5:$B$31,"Required",J5:J31,"Done")&amp;" of 11"</f>
        <v>0 of 11</v>
      </c>
      <c r="K34" s="31" t="str">
        <f aca="false">COUNTIFS($B$5:$B$31,"Required",K5:K31,"Done")&amp;" of 11"</f>
        <v>0 of 11</v>
      </c>
      <c r="L34" s="31" t="str">
        <f aca="false">COUNTIFS($B$5:$B$31,"Required",L5:L31,"Done")&amp;" of 11"</f>
        <v>0 of 11</v>
      </c>
    </row>
    <row r="36" customFormat="false" ht="15" hidden="false" customHeight="false" outlineLevel="0" collapsed="false">
      <c r="A36" s="2" t="s">
        <v>472</v>
      </c>
    </row>
  </sheetData>
  <conditionalFormatting sqref="E5:L31">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1"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2026-10-19T23:46:05Z</dcterms:created>
  <dc:creator>openpyxl</dc:creator>
  <dc:description/>
  <dc:language>en-US</dc:language>
  <cp:lastModifiedBy/>
  <dcterms:modified xsi:type="dcterms:W3CDTF">2026-10-19T23:46:05Z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