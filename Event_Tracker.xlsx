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<sst xmlns="http://schemas.openxmlformats.org/spreadsheetml/2006/main" count="1238" uniqueCount="640">
  <si>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</si>
  <si>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</si>
  <si>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</si>
  <si>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</si>
  <si>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</si>
  <si>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</si>
  <si>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</si>
  <si>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</si>
  <si>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</si>
  <si>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</si>
  <si>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</si>
  <si>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</si>
  <si>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</si>
  <si>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</si>
  <si>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</si>
  <si>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</si>
  <si>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</si>
  <si>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</si>
  <si>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</si>
  <si>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</si>
  <si>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</si>
  <si>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</si>
  <si>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</si>
  <si>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</si>
  <si>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</si>
  <si>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</si>
  <si>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</si>
  <si>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</si>
  <si>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</si>
  <si>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</si>
  <si>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</si>
  <si>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</si>
  <si>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</si>
  <si>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</si>
  <si>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</si>
  <si>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</si>
  <si>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</si>
  <si>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</si>
  <si>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</si>
  <si>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</si>
  <si>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</si>
  <si>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</si>
  <si>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</si>
  <si>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</si>
  <si>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</si>
  <si>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</si>
  <si>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</si>
  <si>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</si>
  <si>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</si>
  <si>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</si>
  <si>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</si>
  <si>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</si>
  <si>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</si>
  <si>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</si>
  <si>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</si>
  <si>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</si>
  <si>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</si>
  <si>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</si>
  <si>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</si>
  <si>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</si>
  <si>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</si>
  <si>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</si>
  <si>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</si>
  <si>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</si>
  <si>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</si>
  <si>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</si>
  <si>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</si>
  <si>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</si>
  <si>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</si>
  <si>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</si>
  <si>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</si>
  <si>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</si>
  <si>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</si>
  <si>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</si>
  <si>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</si>
  <si>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</si>
  <si>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</si>
  <si>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</si>
  <si>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</si>
  <si>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</si>
  <si>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</si>
  <si>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</si>
  <si>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</si>
  <si>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</si>
  <si>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</si>
  <si>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</si>
  <si>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</si>
  <si>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</si>
  <si>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</si>
  <si>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</si>
  <si>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</si>
  <si>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</si>
  <si>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</si>
  <si>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</si>
  <si>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</si>
  <si>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</si>
  <si>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</si>
  <si>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</si>
  <si>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</si>
  <si>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</si>
  <si>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</si>
  <si>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</si>
  <si>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</si>
  <si>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</si>
  <si>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</si>
  <si>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</si>
  <si>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</si>
  <si>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</si>
  <si>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</si>
  <si>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</si>
  <si>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</si>
  <si>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</si>
  <si>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</si>
  <si>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</si>
  <si>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</si>
  <si>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</si>
  <si>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</si>
  <si>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</si>
  <si>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</si>
  <si>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</si>
  <si>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</si>
  <si>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</si>
  <si>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</si>
  <si>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</si>
  <si>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</si>
  <si>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</si>
  <si>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</si>
  <si>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</si>
  <si>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</si>
  <si>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</si>
  <si>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</si>
  <si>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</si>
  <si>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</si>
  <si>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</si>
  <si>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</si>
  <si>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</si>
  <si>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</si>
  <si>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</si>
  <si>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</si>
  <si>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</si>
  <si>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</si>
  <si>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</si>
  <si>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</si>
  <si>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</si>
  <si>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</si>
  <si>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</si>
  <si>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</si>
  <si>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</si>
  <si>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</si>
  <si>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</si>
  <si>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</si>
  <si>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</si>
  <si>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</si>
  <si>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</si>
  <si>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</si>
  <si>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</si>
  <si>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</si>
  <si>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</si>
  <si>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</si>
  <si>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</si>
  <si>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</si>
  <si>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</si>
  <si>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</si>
  <si>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</si>
  <si>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</si>
  <si>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</si>
  <si>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</si>
  <si>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</si>
  <si>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</si>
  <si>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</si>
  <si>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</si>
  <si>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</si>
  <si>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</si>
  <si>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</si>
  <si>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</si>
  <si>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</si>
  <si>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</si>
  <si>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</si>
  <si>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</si>
  <si>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</si>
  <si>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</si>
  <si>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</si>
  <si>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</si>
  <si>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</si>
  <si>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</si>
  <si>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</si>
  <si>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</si>
  <si>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</si>
  <si>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</si>
  <si>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</si>
  <si>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</si>
  <si>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</si>
  <si>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</si>
  <si>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</si>
  <si>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</si>
  <si>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</si>
  <si>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</si>
  <si>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</si>
  <si>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</si>
  <si>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</si>
  <si>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</si>
  <si>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</si>
  <si>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</si>
  <si>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</si>
  <si>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</si>
  <si>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</si>
  <si>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</si>
  <si>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</si>
  <si>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</si>
  <si>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</si>
  <si>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</si>
  <si>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</si>
  <si>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</si>
  <si>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</si>
  <si>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</si>
  <si>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</si>
  <si>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</si>
  <si>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</si>
  <si>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</si>
  <si>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</si>
  <si>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</si>
  <si>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</si>
  <si>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</si>
  <si>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</si>
  <si>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</si>
  <si>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</si>
  <si>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</si>
  <si>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</si>
  <si>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</si>
  <si>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</si>
  <si>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</si>
  <si>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</si>
  <si>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</si>
  <si>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</si>
  <si>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</si>
  <si>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</si>
  <si>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</si>
  <si>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</si>
  <si>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</si>
  <si>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</si>
  <si>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</si>
  <si>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</si>
  <si>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</si>
  <si>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</si>
  <si>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</si>
  <si>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</si>
  <si>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</si>
  <si>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</si>
  <si>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</si>
  <si>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</si>
  <si>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</si>
  <si>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</si>
  <si>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</si>
  <si>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</si>
  <si>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</si>
  <si>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</si>
  <si>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</si>
  <si>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</si>
  <si>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</si>
  <si>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</si>
  <si>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</si>
  <si>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</si>
  <si>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</si>
  <si>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</si>
  <si>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</si>
  <si>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</si>
  <si>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</si>
  <si>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</si>
  <si>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</si>
  <si>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</si>
  <si>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</si>
  <si>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</si>
  <si>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</si>
  <si>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</si>
  <si>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</si>
  <si>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</si>
  <si>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</si>
  <si>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</si>
  <si>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</si>
  <si>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</si>
  <si>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</si>
  <si>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</si>
  <si>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</si>
  <si>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</si>
  <si>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</si>
  <si>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</si>
  <si>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</si>
  <si>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</si>
  <si>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</si>
  <si>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</si>
  <si>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</si>
  <si>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</si>
  <si>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</si>
  <si>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</si>
  <si>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</si>
  <si>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</si>
  <si>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</si>
  <si>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</si>
  <si>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</si>
  <si>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</si>
  <si>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</si>
  <si>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</si>
  <si>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</si>
  <si>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</si>
  <si>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</si>
  <si>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</si>
  <si>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</si>
  <si>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</si>
  <si>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</si>
  <si>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</si>
  <si>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</si>
  <si>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</si>
  <si>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</si>
  <si>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</si>
  <si>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</si>
  <si>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</si>
  <si>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</si>
  <si>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</si>
  <si>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</si>
  <si>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</si>
  <si>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</si>
  <si>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</si>
  <si>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</si>
  <si>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</si>
  <si>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</si>
  <si>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</si>
  <si>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</si>
  <si>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</si>
  <si>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</si>
  <si>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</si>
  <si>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</si>
  <si>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</si>
  <si>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</si>
  <si>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</si>
  <si>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</si>
  <si>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</si>
  <si>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</si>
  <si>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</si>
  <si>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</si>
  <si>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</si>
  <si>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</si>
  <si>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</si>
  <si>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</si>
  <si>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</si>
  <si>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</si>
  <si>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</si>
  <si>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</si>
  <si>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</si>
  <si>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</si>
  <si>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</si>
  <si>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</si>
  <si>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</si>
  <si>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</si>
  <si>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</si>
  <si>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</si>
  <si>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</si>
  <si>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</si>
  <si>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</si>
  <si>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</si>
  <si>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</si>
  <si>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</si>
  <si>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</si>
  <si>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</si>
  <si>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</si>
  <si>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</si>
  <si>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</si>
  <si>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</si>
  <si>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</si>
  <si>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</si>
  <si>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</si>
  <si>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</si>
  <si>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</si>
  <si>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</si>
  <si>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</si>
  <si>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</si>
  <si>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</si>
  <si>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</si>
  <si>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</si>
  <si>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</si>
  <si>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</si>
  <si>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</si>
  <si>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</si>
  <si>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</si>
  <si>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</si>
  <si>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</si>
  <si>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</si>
  <si>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</si>
  <si>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</si>
  <si>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</si>
  <si>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</si>
  <si>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</si>
  <si>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</si>
  <si>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</si>
  <si>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</si>
  <si>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</si>
  <si>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</si>
  <si>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</si>
  <si>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</si>
  <si>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</si>
  <si>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</si>
  <si>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</si>
  <si>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</si>
  <si>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</si>
  <si>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</si>
  <si>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</si>
  <si>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</si>
  <si>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</si>
  <si>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</si>
  <si>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</si>
  <si>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</si>
  <si>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</si>
  <si>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</si>
  <si>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</si>
  <si>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</si>
  <si>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</si>
  <si>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</si>
  <si>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</si>
  <si>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</si>
  <si>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</si>
  <si>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</si>
  <si>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</si>
  <si>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</si>
  <si>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</si>
  <si>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</si>
  <si>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</si>
  <si>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</si>
  <si>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</si>
  <si>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</si>
  <si>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</si>
  <si>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</si>
  <si>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</si>
  <si>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</si>
  <si>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</si>
  <si>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</si>
  <si>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</si>
  <si>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</si>
  <si>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</si>
  <si>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</si>
  <si>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</si>
  <si>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</si>
  <si>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</si>
  <si>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</si>
  <si>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</si>
  <si>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</si>
  <si>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</si>
  <si>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</si>
  <si>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</si>
  <si>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</si>
  <si>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</si>
  <si>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</si>
  <si>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</si>
  <si>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</si>
  <si>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</si>
  <si>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</si>
  <si>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</si>
  <si>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</si>
  <si>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</si>
  <si>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</si>
  <si>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</si>
  <si>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</si>
  <si>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</si>
  <si>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</si>
  <si>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</si>
  <si>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</si>
  <si>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</si>
  <si>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</si>
  <si>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</si>
  <si>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</si>
  <si>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</si>
  <si>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</si>
  <si>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</si>
  <si>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</si>
  <si>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</si>
  <si>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</si>
  <si>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</si>
  <si>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</si>
  <si>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</si>
  <si>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</si>
  <si>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</si>
  <si>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</si>
  <si>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</si>
  <si>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</si>
  <si>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First Uncanny Avenger. Then retry Spider-Man tower cell 20</t>
  </si>
  <si>
    <t xml:space="preserve">Second Uncanny Avenger to level 101</t>
  </si>
  <si>
    <t xml:space="preserve">If needed</t>
  </si>
  <si>
    <t xml:space="preserve">Only if cell 20 still fails after Storm</t>
  </si>
  <si>
    <t xml:space="preserve">Third Uncanny Avenger to level 101</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</si>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</sst>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577001630</v>
      </c>
      <c r="D6" s="16" t="s">
        <v>227</v>
      </c>
      <c r="E6" s="20" t="n">
        <f aca="false">B6+Scoring!F51</f>
        <v>6007001630</v>
      </c>
    </row>
    <row r="7" customFormat="false" ht="15" hidden="false" customHeight="false" outlineLevel="0" collapsed="false">
      <c r="A7" s="16" t="s">
        <v>228</v>
      </c>
      <c r="B7" s="16" t="n">
        <f aca="false">SUMPRODUCT((B13:B76&lt;&gt;"")*(B13:B76&lt;=B6))+SUMPRODUCT((B13:B76="")*(F13:F76="Claimed"))</f>
        <v>43</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44</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22998370</v>
      </c>
    </row>
    <row r="10" customFormat="false" ht="15" hidden="false" customHeight="false" outlineLevel="0" collapsed="false">
      <c r="A10" s="16" t="s">
        <v>231</v>
      </c>
      <c r="B10" s="20" t="n">
        <f aca="false">MAX(0,B76-B6)</f>
        <v>3547998370</v>
      </c>
    </row>
    <row r="11" customFormat="false" ht="15" hidden="false" customHeight="false" outlineLevel="0" collapsed="false">
      <c r="A11" s="16" t="s">
        <v>232</v>
      </c>
      <c r="B11" s="20" t="n">
        <f aca="true">IFERROR(B10/MAX(B5-NOW(),0.01),0)</f>
        <v>555276317.656699</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0</v>
      </c>
      <c r="F55" s="11" t="s">
        <v>166</v>
      </c>
    </row>
    <row r="56" customFormat="false" ht="15" hidden="false" customHeight="false" outlineLevel="0" collapsed="false">
      <c r="A56" s="26" t="n">
        <v>44</v>
      </c>
      <c r="B56" s="14" t="n">
        <v>600000000</v>
      </c>
      <c r="C56" s="12" t="s">
        <v>276</v>
      </c>
      <c r="D56" s="12"/>
      <c r="E56" s="24" t="n">
        <f aca="false">IF(B56="","",MAX(0,B56-$B$6))</f>
        <v>22998370</v>
      </c>
      <c r="F56" s="11" t="s">
        <v>169</v>
      </c>
    </row>
    <row r="57" customFormat="false" ht="15" hidden="false" customHeight="false" outlineLevel="0" collapsed="false">
      <c r="A57" s="26" t="n">
        <v>45</v>
      </c>
      <c r="B57" s="14" t="n">
        <v>630000000</v>
      </c>
      <c r="C57" s="12" t="s">
        <v>277</v>
      </c>
      <c r="D57" s="12"/>
      <c r="E57" s="24" t="n">
        <f aca="false">IF(B57="","",MAX(0,B57-$B$6))</f>
        <v>52998370</v>
      </c>
      <c r="F57" s="11" t="s">
        <v>169</v>
      </c>
    </row>
    <row r="58" customFormat="false" ht="15" hidden="false" customHeight="false" outlineLevel="0" collapsed="false">
      <c r="A58" s="26" t="n">
        <v>46</v>
      </c>
      <c r="B58" s="14" t="n">
        <v>660000000</v>
      </c>
      <c r="C58" s="12" t="s">
        <v>278</v>
      </c>
      <c r="D58" s="12"/>
      <c r="E58" s="24" t="n">
        <f aca="false">IF(B58="","",MAX(0,B58-$B$6))</f>
        <v>82998370</v>
      </c>
      <c r="F58" s="11" t="s">
        <v>169</v>
      </c>
    </row>
    <row r="59" customFormat="false" ht="15" hidden="false" customHeight="false" outlineLevel="0" collapsed="false">
      <c r="A59" s="26" t="n">
        <v>47</v>
      </c>
      <c r="B59" s="14" t="n">
        <v>690000000</v>
      </c>
      <c r="C59" s="12" t="s">
        <v>279</v>
      </c>
      <c r="D59" s="12"/>
      <c r="E59" s="24" t="n">
        <f aca="false">IF(B59="","",MAX(0,B59-$B$6))</f>
        <v>112998370</v>
      </c>
      <c r="F59" s="11" t="s">
        <v>169</v>
      </c>
    </row>
    <row r="60" customFormat="false" ht="15" hidden="false" customHeight="false" outlineLevel="0" collapsed="false">
      <c r="A60" s="26" t="n">
        <v>48</v>
      </c>
      <c r="B60" s="14" t="n">
        <v>750000000</v>
      </c>
      <c r="C60" s="12" t="s">
        <v>280</v>
      </c>
      <c r="D60" s="12"/>
      <c r="E60" s="24" t="n">
        <f aca="false">IF(B60="","",MAX(0,B60-$B$6))</f>
        <v>172998370</v>
      </c>
      <c r="F60" s="11" t="s">
        <v>169</v>
      </c>
    </row>
    <row r="61" customFormat="false" ht="15" hidden="false" customHeight="false" outlineLevel="0" collapsed="false">
      <c r="A61" s="26" t="n">
        <v>49</v>
      </c>
      <c r="B61" s="14" t="n">
        <v>825000000</v>
      </c>
      <c r="C61" s="12" t="s">
        <v>281</v>
      </c>
      <c r="D61" s="12"/>
      <c r="E61" s="24" t="n">
        <f aca="false">IF(B61="","",MAX(0,B61-$B$6))</f>
        <v>247998370</v>
      </c>
      <c r="F61" s="11" t="s">
        <v>169</v>
      </c>
    </row>
    <row r="62" customFormat="false" ht="15" hidden="false" customHeight="false" outlineLevel="0" collapsed="false">
      <c r="A62" s="26" t="n">
        <v>50</v>
      </c>
      <c r="B62" s="14" t="n">
        <v>900000000</v>
      </c>
      <c r="C62" s="12" t="s">
        <v>282</v>
      </c>
      <c r="D62" s="12"/>
      <c r="E62" s="24" t="n">
        <f aca="false">IF(B62="","",MAX(0,B62-$B$6))</f>
        <v>322998370</v>
      </c>
      <c r="F62" s="11" t="s">
        <v>169</v>
      </c>
    </row>
    <row r="63" customFormat="false" ht="15" hidden="false" customHeight="false" outlineLevel="0" collapsed="false">
      <c r="A63" s="26" t="n">
        <v>51</v>
      </c>
      <c r="B63" s="14" t="n">
        <v>975000000</v>
      </c>
      <c r="C63" s="12" t="s">
        <v>283</v>
      </c>
      <c r="D63" s="12"/>
      <c r="E63" s="24" t="n">
        <f aca="false">IF(B63="","",MAX(0,B63-$B$6))</f>
        <v>397998370</v>
      </c>
      <c r="F63" s="11" t="s">
        <v>169</v>
      </c>
    </row>
    <row r="64" customFormat="false" ht="15" hidden="false" customHeight="false" outlineLevel="0" collapsed="false">
      <c r="A64" s="26" t="n">
        <v>52</v>
      </c>
      <c r="B64" s="14" t="n">
        <v>1050000000</v>
      </c>
      <c r="C64" s="12" t="s">
        <v>284</v>
      </c>
      <c r="D64" s="12"/>
      <c r="E64" s="24" t="n">
        <f aca="false">IF(B64="","",MAX(0,B64-$B$6))</f>
        <v>472998370</v>
      </c>
      <c r="F64" s="11" t="s">
        <v>169</v>
      </c>
    </row>
    <row r="65" customFormat="false" ht="15" hidden="false" customHeight="false" outlineLevel="0" collapsed="false">
      <c r="A65" s="26" t="n">
        <v>53</v>
      </c>
      <c r="B65" s="14" t="n">
        <v>1125000000</v>
      </c>
      <c r="C65" s="12" t="s">
        <v>285</v>
      </c>
      <c r="D65" s="12"/>
      <c r="E65" s="24" t="n">
        <f aca="false">IF(B65="","",MAX(0,B65-$B$6))</f>
        <v>547998370</v>
      </c>
      <c r="F65" s="11" t="s">
        <v>169</v>
      </c>
    </row>
    <row r="66" customFormat="false" ht="15" hidden="false" customHeight="false" outlineLevel="0" collapsed="false">
      <c r="A66" s="26" t="n">
        <v>54</v>
      </c>
      <c r="B66" s="14" t="n">
        <v>1200000000</v>
      </c>
      <c r="C66" s="12" t="s">
        <v>286</v>
      </c>
      <c r="D66" s="12"/>
      <c r="E66" s="24" t="n">
        <f aca="false">IF(B66="","",MAX(0,B66-$B$6))</f>
        <v>622998370</v>
      </c>
      <c r="F66" s="11" t="s">
        <v>169</v>
      </c>
    </row>
    <row r="67" customFormat="false" ht="15" hidden="false" customHeight="false" outlineLevel="0" collapsed="false">
      <c r="A67" s="26" t="n">
        <v>55</v>
      </c>
      <c r="B67" s="14" t="n">
        <v>1350000000</v>
      </c>
      <c r="C67" s="12" t="s">
        <v>287</v>
      </c>
      <c r="D67" s="12"/>
      <c r="E67" s="24" t="n">
        <f aca="false">IF(B67="","",MAX(0,B67-$B$6))</f>
        <v>772998370</v>
      </c>
      <c r="F67" s="11" t="s">
        <v>169</v>
      </c>
    </row>
    <row r="68" customFormat="false" ht="15" hidden="false" customHeight="false" outlineLevel="0" collapsed="false">
      <c r="A68" s="26" t="n">
        <v>56</v>
      </c>
      <c r="B68" s="14" t="n">
        <v>1500000000</v>
      </c>
      <c r="C68" s="12" t="s">
        <v>288</v>
      </c>
      <c r="D68" s="12"/>
      <c r="E68" s="24" t="n">
        <f aca="false">IF(B68="","",MAX(0,B68-$B$6))</f>
        <v>922998370</v>
      </c>
      <c r="F68" s="11" t="s">
        <v>169</v>
      </c>
    </row>
    <row r="69" customFormat="false" ht="15" hidden="false" customHeight="false" outlineLevel="0" collapsed="false">
      <c r="A69" s="26" t="n">
        <v>57</v>
      </c>
      <c r="B69" s="14" t="n">
        <v>1650000000</v>
      </c>
      <c r="C69" s="12" t="s">
        <v>289</v>
      </c>
      <c r="D69" s="12"/>
      <c r="E69" s="24" t="n">
        <f aca="false">IF(B69="","",MAX(0,B69-$B$6))</f>
        <v>1072998370</v>
      </c>
      <c r="F69" s="11" t="s">
        <v>169</v>
      </c>
    </row>
    <row r="70" customFormat="false" ht="15" hidden="false" customHeight="false" outlineLevel="0" collapsed="false">
      <c r="A70" s="26" t="n">
        <v>58</v>
      </c>
      <c r="B70" s="14" t="n">
        <v>1875000000</v>
      </c>
      <c r="C70" s="12" t="s">
        <v>290</v>
      </c>
      <c r="D70" s="12"/>
      <c r="E70" s="24" t="n">
        <f aca="false">IF(B70="","",MAX(0,B70-$B$6))</f>
        <v>1297998370</v>
      </c>
      <c r="F70" s="11" t="s">
        <v>169</v>
      </c>
    </row>
    <row r="71" customFormat="false" ht="15" hidden="false" customHeight="false" outlineLevel="0" collapsed="false">
      <c r="A71" s="26" t="n">
        <v>59</v>
      </c>
      <c r="B71" s="14" t="n">
        <v>2250000000</v>
      </c>
      <c r="C71" s="12" t="s">
        <v>291</v>
      </c>
      <c r="D71" s="12"/>
      <c r="E71" s="24" t="n">
        <f aca="false">IF(B71="","",MAX(0,B71-$B$6))</f>
        <v>1672998370</v>
      </c>
      <c r="F71" s="11" t="s">
        <v>169</v>
      </c>
    </row>
    <row r="72" customFormat="false" ht="15" hidden="false" customHeight="false" outlineLevel="0" collapsed="false">
      <c r="A72" s="26" t="n">
        <v>60</v>
      </c>
      <c r="B72" s="14" t="n">
        <v>2625000000</v>
      </c>
      <c r="C72" s="12" t="s">
        <v>292</v>
      </c>
      <c r="D72" s="12"/>
      <c r="E72" s="24" t="n">
        <f aca="false">IF(B72="","",MAX(0,B72-$B$6))</f>
        <v>2047998370</v>
      </c>
      <c r="F72" s="11" t="s">
        <v>169</v>
      </c>
    </row>
    <row r="73" customFormat="false" ht="15" hidden="false" customHeight="false" outlineLevel="0" collapsed="false">
      <c r="A73" s="26" t="n">
        <v>61</v>
      </c>
      <c r="B73" s="14" t="n">
        <v>3000000000</v>
      </c>
      <c r="C73" s="12" t="s">
        <v>293</v>
      </c>
      <c r="D73" s="12"/>
      <c r="E73" s="24" t="n">
        <f aca="false">IF(B73="","",MAX(0,B73-$B$6))</f>
        <v>2422998370</v>
      </c>
      <c r="F73" s="11" t="s">
        <v>169</v>
      </c>
    </row>
    <row r="74" customFormat="false" ht="15" hidden="false" customHeight="false" outlineLevel="0" collapsed="false">
      <c r="A74" s="26" t="n">
        <v>62</v>
      </c>
      <c r="B74" s="14" t="n">
        <v>3375000000</v>
      </c>
      <c r="C74" s="12" t="s">
        <v>294</v>
      </c>
      <c r="D74" s="12"/>
      <c r="E74" s="24" t="n">
        <f aca="false">IF(B74="","",MAX(0,B74-$B$6))</f>
        <v>2797998370</v>
      </c>
      <c r="F74" s="11" t="s">
        <v>169</v>
      </c>
    </row>
    <row r="75" customFormat="false" ht="15" hidden="false" customHeight="false" outlineLevel="0" collapsed="false">
      <c r="A75" s="26" t="n">
        <v>63</v>
      </c>
      <c r="B75" s="14" t="n">
        <v>3750000000</v>
      </c>
      <c r="C75" s="12" t="s">
        <v>295</v>
      </c>
      <c r="D75" s="12"/>
      <c r="E75" s="24" t="n">
        <f aca="false">IF(B75="","",MAX(0,B75-$B$6))</f>
        <v>3172998370</v>
      </c>
      <c r="F75" s="11" t="s">
        <v>169</v>
      </c>
    </row>
    <row r="76" customFormat="false" ht="15" hidden="false" customHeight="false" outlineLevel="0" collapsed="false">
      <c r="A76" s="26" t="n">
        <v>64</v>
      </c>
      <c r="B76" s="14" t="n">
        <v>4125000000</v>
      </c>
      <c r="C76" s="12" t="s">
        <v>296</v>
      </c>
      <c r="D76" s="12"/>
      <c r="E76" s="24" t="n">
        <f aca="false">IF(B76="","",MAX(0,B76-$B$6))</f>
        <v>3547998370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52651630</v>
      </c>
      <c r="F7" s="22" t="n">
        <f aca="false">IF(ISNUMBER(D7),MAX(0,D7-E7),0)</f>
        <v>947348370</v>
      </c>
      <c r="G7" s="22" t="n">
        <f aca="false">IF(ISNUMBER(D7),ROUNDUP(D7/C7,0),"No limit")</f>
        <v>1000000000</v>
      </c>
      <c r="H7" s="22" t="n">
        <f aca="false">IFERROR(INT(E7/C7),0)</f>
        <v>52651630</v>
      </c>
      <c r="I7" s="22" t="n">
        <f aca="false">IFERROR(ROUNDUP(F7/C7,0),0)</f>
        <v>947348370</v>
      </c>
      <c r="J7" s="11" t="s">
        <v>315</v>
      </c>
    </row>
    <row r="8" customFormat="false" ht="15" hidden="false" customHeight="false" outlineLevel="0" collapsed="false">
      <c r="A8" s="12" t="s">
        <v>313</v>
      </c>
      <c r="B8" s="12" t="s">
        <v>316</v>
      </c>
      <c r="C8" s="14" t="n">
        <v>4000</v>
      </c>
      <c r="D8" s="14" t="n">
        <v>1000000000</v>
      </c>
      <c r="E8" s="25" t="n">
        <v>17100000</v>
      </c>
      <c r="F8" s="22" t="n">
        <f aca="false">IF(ISNUMBER(D8),MAX(0,D8-E8),0)</f>
        <v>982900000</v>
      </c>
      <c r="G8" s="22" t="n">
        <f aca="false">IF(ISNUMBER(D8),ROUNDUP(D8/C8,0),"No limit")</f>
        <v>250000</v>
      </c>
      <c r="H8" s="22" t="n">
        <f aca="false">IFERROR(INT(E8/C8),0)</f>
        <v>4275</v>
      </c>
      <c r="I8" s="22" t="n">
        <f aca="false">IFERROR(ROUNDUP(F8/C8,0),0)</f>
        <v>245725</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577001630</v>
      </c>
      <c r="F49" s="20"/>
    </row>
    <row r="50" customFormat="false" ht="15" hidden="false" customHeight="false" outlineLevel="0" collapsed="false">
      <c r="B50" s="16" t="s">
        <v>364</v>
      </c>
      <c r="E50" s="20"/>
      <c r="F50" s="20" t="n">
        <f aca="false">SUM(F5:F47)</f>
        <v>7360248370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16828000</v>
      </c>
      <c r="C5" s="27" t="n">
        <v>336000</v>
      </c>
      <c r="D5" s="27" t="n">
        <v>3960000</v>
      </c>
      <c r="E5" s="27" t="n">
        <v>13650000</v>
      </c>
      <c r="F5" s="27" t="n">
        <v>227</v>
      </c>
      <c r="G5" s="27" t="n">
        <v>871</v>
      </c>
      <c r="H5" s="27" t="n">
        <v>522</v>
      </c>
    </row>
    <row r="6" customFormat="false" ht="15" hidden="false" customHeight="false" outlineLevel="0" collapsed="false">
      <c r="A6" s="16" t="s">
        <v>378</v>
      </c>
      <c r="B6" s="28" t="n">
        <f aca="false">SUMIFS(B13:B76,$I$13:$I$76,"Yes",$J$13:$J$76,"No")</f>
        <v>27050000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43878000</v>
      </c>
      <c r="C7" s="28" t="n">
        <f aca="false">C5+C6</f>
        <v>4986000</v>
      </c>
      <c r="D7" s="28" t="n">
        <f aca="false">D5+D6</f>
        <v>7846000</v>
      </c>
      <c r="E7" s="28" t="n">
        <f aca="false">E5+E6</f>
        <v>19036000</v>
      </c>
      <c r="F7" s="28" t="n">
        <f aca="false">F5+F6</f>
        <v>227</v>
      </c>
      <c r="G7" s="28" t="n">
        <f aca="false">G5+G6</f>
        <v>971</v>
      </c>
      <c r="H7" s="28" t="n">
        <f aca="false">H5+H6</f>
        <v>1407</v>
      </c>
    </row>
    <row r="8" customFormat="false" ht="15" hidden="false" customHeight="false" outlineLevel="0" collapsed="false">
      <c r="A8" s="16" t="s">
        <v>380</v>
      </c>
      <c r="B8" s="28" t="n">
        <f aca="false">SUMIF($J$80:$J$101,"Planned",B80:B101)</f>
        <v>1650010</v>
      </c>
      <c r="C8" s="28" t="n">
        <f aca="false">SUMIF($J$80:$J$101,"Planned",C80:C101)</f>
        <v>1710000</v>
      </c>
      <c r="D8" s="28" t="n">
        <f aca="false">SUMIF($J$80:$J$101,"Planned",D80:D101)</f>
        <v>1710000</v>
      </c>
      <c r="E8" s="28" t="n">
        <f aca="false">SUMIF($J$80:$J$101,"Planned",E80:E101)</f>
        <v>2640000</v>
      </c>
      <c r="F8" s="28" t="n">
        <f aca="false">SUMIF($J$80:$J$101,"Planned",F80:F101)</f>
        <v>3</v>
      </c>
      <c r="G8" s="28" t="n">
        <f aca="false">SUMIF($J$80:$J$101,"Planned",G80:G101)</f>
        <v>1</v>
      </c>
      <c r="H8" s="28" t="n">
        <f aca="false">SUMIF($J$80:$J$101,"Planned",H80:H101)</f>
        <v>164</v>
      </c>
    </row>
    <row r="9" customFormat="false" ht="15" hidden="false" customHeight="false" outlineLevel="0" collapsed="false">
      <c r="A9" s="16" t="s">
        <v>381</v>
      </c>
      <c r="B9" s="29" t="n">
        <f aca="false">B7-B8</f>
        <v>42227990</v>
      </c>
      <c r="C9" s="29" t="n">
        <f aca="false">C7-C8</f>
        <v>3276000</v>
      </c>
      <c r="D9" s="29" t="n">
        <f aca="false">D7-D8</f>
        <v>6136000</v>
      </c>
      <c r="E9" s="29" t="n">
        <f aca="false">E7-E8</f>
        <v>16396000</v>
      </c>
      <c r="F9" s="29" t="n">
        <f aca="false">F7-F8</f>
        <v>224</v>
      </c>
      <c r="G9" s="29" t="n">
        <f aca="false">G7-G8</f>
        <v>970</v>
      </c>
      <c r="H9" s="29" t="n">
        <f aca="false">H7-H8</f>
        <v>1243</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387</v>
      </c>
      <c r="D49" s="30" t="n">
        <v>3300000</v>
      </c>
      <c r="E49" s="30" t="n">
        <v>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479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484</v>
      </c>
      <c r="K87" s="15" t="s">
        <v>485</v>
      </c>
    </row>
    <row r="88" customFormat="false" ht="15" hidden="false" customHeight="false" outlineLevel="0" collapsed="false">
      <c r="A88" s="12" t="s">
        <v>486</v>
      </c>
      <c r="B88" s="30" t="n">
        <v>1650000</v>
      </c>
      <c r="C88" s="30" t="n">
        <v>0</v>
      </c>
      <c r="D88" s="30" t="n">
        <v>0</v>
      </c>
      <c r="E88" s="30" t="n">
        <v>0</v>
      </c>
      <c r="F88" s="30" t="n">
        <v>3</v>
      </c>
      <c r="G88" s="30" t="n">
        <v>1</v>
      </c>
      <c r="H88" s="30" t="n">
        <v>164</v>
      </c>
      <c r="I88" s="30" t="n">
        <v>3000000</v>
      </c>
      <c r="J88" s="11" t="s">
        <v>484</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479</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469</v>
      </c>
      <c r="K90" s="15" t="s">
        <v>491</v>
      </c>
    </row>
    <row r="91" customFormat="false" ht="15" hidden="false" customHeight="false" outlineLevel="0" collapsed="false">
      <c r="A91" s="12" t="s">
        <v>492</v>
      </c>
      <c r="B91" s="30" t="n">
        <v>0</v>
      </c>
      <c r="C91" s="30" t="n">
        <v>1710000</v>
      </c>
      <c r="D91" s="30" t="n">
        <v>1710000</v>
      </c>
      <c r="E91" s="30" t="n">
        <v>2640000</v>
      </c>
      <c r="F91" s="30" t="n">
        <v>0</v>
      </c>
      <c r="G91" s="30" t="n">
        <v>0</v>
      </c>
      <c r="H91" s="30" t="n">
        <v>0</v>
      </c>
      <c r="I91" s="30" t="n">
        <v>17000000</v>
      </c>
      <c r="J91" s="11" t="s">
        <v>479</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476</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476</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476</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476</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40000000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469</v>
      </c>
      <c r="F6" s="32" t="s">
        <v>469</v>
      </c>
      <c r="G6" s="32"/>
      <c r="H6" s="32"/>
      <c r="I6" s="32"/>
      <c r="J6" s="32"/>
      <c r="K6" s="32"/>
      <c r="L6" s="32"/>
    </row>
    <row r="7" customFormat="false" ht="15" hidden="false" customHeight="false" outlineLevel="0" collapsed="false">
      <c r="A7" s="13" t="s">
        <v>515</v>
      </c>
      <c r="B7" s="13" t="s">
        <v>513</v>
      </c>
      <c r="C7" s="24" t="n">
        <v>25000</v>
      </c>
      <c r="D7" s="15" t="s">
        <v>516</v>
      </c>
      <c r="E7" s="32" t="s">
        <v>469</v>
      </c>
      <c r="F7" s="32" t="s">
        <v>469</v>
      </c>
      <c r="G7" s="32"/>
      <c r="H7" s="32"/>
      <c r="I7" s="32"/>
      <c r="J7" s="32"/>
      <c r="K7" s="32"/>
      <c r="L7" s="32"/>
    </row>
    <row r="8" customFormat="false" ht="15" hidden="false" customHeight="false" outlineLevel="0" collapsed="false">
      <c r="A8" s="13" t="s">
        <v>517</v>
      </c>
      <c r="B8" s="13" t="s">
        <v>513</v>
      </c>
      <c r="C8" s="24" t="n">
        <v>50000</v>
      </c>
      <c r="D8" s="15" t="s">
        <v>518</v>
      </c>
      <c r="E8" s="32" t="s">
        <v>469</v>
      </c>
      <c r="F8" s="32" t="s">
        <v>469</v>
      </c>
      <c r="G8" s="32"/>
      <c r="H8" s="32"/>
      <c r="I8" s="32"/>
      <c r="J8" s="32"/>
      <c r="K8" s="32"/>
      <c r="L8" s="32"/>
    </row>
    <row r="9" customFormat="false" ht="15" hidden="false" customHeight="false" outlineLevel="0" collapsed="false">
      <c r="A9" s="13" t="s">
        <v>519</v>
      </c>
      <c r="B9" s="13" t="s">
        <v>513</v>
      </c>
      <c r="C9" s="24" t="n">
        <v>50000</v>
      </c>
      <c r="D9" s="15" t="s">
        <v>520</v>
      </c>
      <c r="E9" s="32" t="s">
        <v>469</v>
      </c>
      <c r="F9" s="32" t="s">
        <v>469</v>
      </c>
      <c r="G9" s="32"/>
      <c r="H9" s="32"/>
      <c r="I9" s="32"/>
      <c r="J9" s="32"/>
      <c r="K9" s="32"/>
      <c r="L9" s="32"/>
    </row>
    <row r="10" customFormat="false" ht="15" hidden="false" customHeight="false" outlineLevel="0" collapsed="false">
      <c r="A10" s="13" t="s">
        <v>521</v>
      </c>
      <c r="B10" s="13" t="s">
        <v>513</v>
      </c>
      <c r="C10" s="24" t="n">
        <v>50000</v>
      </c>
      <c r="D10" s="15" t="s">
        <v>518</v>
      </c>
      <c r="E10" s="32" t="s">
        <v>469</v>
      </c>
      <c r="F10" s="32" t="s">
        <v>469</v>
      </c>
      <c r="G10" s="32"/>
      <c r="H10" s="32"/>
      <c r="I10" s="32"/>
      <c r="J10" s="32"/>
      <c r="K10" s="32"/>
      <c r="L10" s="32"/>
    </row>
    <row r="11" customFormat="false" ht="15" hidden="false" customHeight="false" outlineLevel="0" collapsed="false">
      <c r="A11" s="13" t="s">
        <v>522</v>
      </c>
      <c r="B11" s="13" t="s">
        <v>513</v>
      </c>
      <c r="C11" s="24" t="n">
        <v>25000</v>
      </c>
      <c r="D11" s="15" t="s">
        <v>518</v>
      </c>
      <c r="E11" s="32" t="s">
        <v>469</v>
      </c>
      <c r="F11" s="32" t="s">
        <v>469</v>
      </c>
      <c r="G11" s="32"/>
      <c r="H11" s="32"/>
      <c r="I11" s="32"/>
      <c r="J11" s="32"/>
      <c r="K11" s="32"/>
      <c r="L11" s="32"/>
    </row>
    <row r="12" customFormat="false" ht="15" hidden="false" customHeight="false" outlineLevel="0" collapsed="false">
      <c r="A12" s="13" t="s">
        <v>523</v>
      </c>
      <c r="B12" s="13" t="s">
        <v>513</v>
      </c>
      <c r="C12" s="24" t="n">
        <v>25000</v>
      </c>
      <c r="D12" s="15" t="s">
        <v>524</v>
      </c>
      <c r="E12" s="32" t="s">
        <v>469</v>
      </c>
      <c r="F12" s="32" t="s">
        <v>469</v>
      </c>
      <c r="G12" s="32"/>
      <c r="H12" s="32"/>
      <c r="I12" s="32"/>
      <c r="J12" s="32"/>
      <c r="K12" s="32"/>
      <c r="L12" s="32"/>
    </row>
    <row r="13" customFormat="false" ht="15" hidden="false" customHeight="false" outlineLevel="0" collapsed="false">
      <c r="A13" s="13" t="s">
        <v>525</v>
      </c>
      <c r="B13" s="13" t="s">
        <v>513</v>
      </c>
      <c r="C13" s="24" t="n">
        <v>25000</v>
      </c>
      <c r="D13" s="15" t="s">
        <v>518</v>
      </c>
      <c r="E13" s="32" t="s">
        <v>469</v>
      </c>
      <c r="F13" s="32" t="s">
        <v>469</v>
      </c>
      <c r="G13" s="32"/>
      <c r="H13" s="32"/>
      <c r="I13" s="32"/>
      <c r="J13" s="32"/>
      <c r="K13" s="32"/>
      <c r="L13" s="32"/>
    </row>
    <row r="14" customFormat="false" ht="15" hidden="false" customHeight="false" outlineLevel="0" collapsed="false">
      <c r="A14" s="13" t="s">
        <v>526</v>
      </c>
      <c r="B14" s="13" t="s">
        <v>513</v>
      </c>
      <c r="C14" s="24" t="n">
        <v>50000</v>
      </c>
      <c r="D14" s="15" t="s">
        <v>527</v>
      </c>
      <c r="E14" s="32" t="s">
        <v>469</v>
      </c>
      <c r="F14" s="32" t="s">
        <v>469</v>
      </c>
      <c r="G14" s="32"/>
      <c r="H14" s="32"/>
      <c r="I14" s="32"/>
      <c r="J14" s="32"/>
      <c r="K14" s="32"/>
      <c r="L14" s="32"/>
    </row>
    <row r="15" customFormat="false" ht="15" hidden="false" customHeight="false" outlineLevel="0" collapsed="false">
      <c r="A15" s="13" t="s">
        <v>528</v>
      </c>
      <c r="B15" s="13" t="s">
        <v>513</v>
      </c>
      <c r="C15" s="24" t="n">
        <v>50000</v>
      </c>
      <c r="D15" s="15" t="s">
        <v>518</v>
      </c>
      <c r="E15" s="32" t="s">
        <v>469</v>
      </c>
      <c r="F15" s="32" t="s">
        <v>469</v>
      </c>
      <c r="G15" s="32"/>
      <c r="H15" s="32"/>
      <c r="I15" s="32"/>
      <c r="J15" s="32"/>
      <c r="K15" s="32"/>
      <c r="L15" s="32"/>
    </row>
    <row r="16" customFormat="false" ht="15" hidden="false" customHeight="false" outlineLevel="0" collapsed="false">
      <c r="A16" s="13" t="s">
        <v>529</v>
      </c>
      <c r="B16" s="13" t="s">
        <v>513</v>
      </c>
      <c r="C16" s="24" t="n">
        <v>1000000</v>
      </c>
      <c r="D16" s="15" t="s">
        <v>530</v>
      </c>
      <c r="E16" s="32" t="s">
        <v>469</v>
      </c>
      <c r="F16" s="32" t="s">
        <v>469</v>
      </c>
      <c r="G16" s="32"/>
      <c r="H16" s="32"/>
      <c r="I16" s="32"/>
      <c r="J16" s="32"/>
      <c r="K16" s="32"/>
      <c r="L16" s="32"/>
    </row>
    <row r="17" customFormat="false" ht="15" hidden="false" customHeight="false" outlineLevel="0" collapsed="false">
      <c r="A17" s="13" t="s">
        <v>531</v>
      </c>
      <c r="B17" s="13" t="s">
        <v>532</v>
      </c>
      <c r="C17" s="24" t="n">
        <v>100000</v>
      </c>
      <c r="D17" s="15" t="s">
        <v>533</v>
      </c>
      <c r="E17" s="32"/>
      <c r="F17" s="32" t="s">
        <v>469</v>
      </c>
      <c r="G17" s="32"/>
      <c r="H17" s="32"/>
      <c r="I17" s="32"/>
      <c r="J17" s="32"/>
      <c r="K17" s="32"/>
      <c r="L17" s="32"/>
    </row>
    <row r="18" customFormat="false" ht="15" hidden="false" customHeight="false" outlineLevel="0" collapsed="false">
      <c r="A18" s="13" t="s">
        <v>534</v>
      </c>
      <c r="B18" s="13" t="s">
        <v>532</v>
      </c>
      <c r="C18" s="24" t="n">
        <v>25000</v>
      </c>
      <c r="D18" s="15" t="s">
        <v>535</v>
      </c>
      <c r="E18" s="32" t="s">
        <v>469</v>
      </c>
      <c r="F18" s="32" t="s">
        <v>469</v>
      </c>
      <c r="G18" s="32"/>
      <c r="H18" s="32"/>
      <c r="I18" s="32"/>
      <c r="J18" s="32"/>
      <c r="K18" s="32"/>
      <c r="L18" s="32"/>
    </row>
    <row r="19" customFormat="false" ht="15" hidden="false" customHeight="false" outlineLevel="0" collapsed="false">
      <c r="A19" s="13" t="s">
        <v>536</v>
      </c>
      <c r="B19" s="13" t="s">
        <v>532</v>
      </c>
      <c r="C19" s="24" t="n">
        <v>25000</v>
      </c>
      <c r="D19" s="15" t="s">
        <v>537</v>
      </c>
      <c r="E19" s="32" t="s">
        <v>469</v>
      </c>
      <c r="F19" s="32" t="s">
        <v>469</v>
      </c>
      <c r="G19" s="32"/>
      <c r="H19" s="32"/>
      <c r="I19" s="32"/>
      <c r="J19" s="32"/>
      <c r="K19" s="32"/>
      <c r="L19" s="32"/>
    </row>
    <row r="20" customFormat="false" ht="15" hidden="false" customHeight="false" outlineLevel="0" collapsed="false">
      <c r="A20" s="13" t="s">
        <v>538</v>
      </c>
      <c r="B20" s="13" t="s">
        <v>532</v>
      </c>
      <c r="C20" s="24" t="n">
        <v>75000</v>
      </c>
      <c r="D20" s="15" t="s">
        <v>539</v>
      </c>
      <c r="E20" s="32" t="s">
        <v>469</v>
      </c>
      <c r="F20" s="32" t="s">
        <v>469</v>
      </c>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469</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469</v>
      </c>
      <c r="F25" s="32" t="s">
        <v>469</v>
      </c>
      <c r="G25" s="32"/>
      <c r="H25" s="32"/>
      <c r="I25" s="32"/>
      <c r="J25" s="32"/>
      <c r="K25" s="32"/>
      <c r="L25" s="32"/>
    </row>
    <row r="26" customFormat="false" ht="15" hidden="false" customHeight="false" outlineLevel="0" collapsed="false">
      <c r="A26" s="13" t="s">
        <v>549</v>
      </c>
      <c r="B26" s="13" t="s">
        <v>547</v>
      </c>
      <c r="C26" s="24" t="n">
        <v>0</v>
      </c>
      <c r="D26" s="15" t="s">
        <v>550</v>
      </c>
      <c r="E26" s="32" t="s">
        <v>469</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469</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325778995</v>
      </c>
      <c r="D6" s="17" t="s">
        <v>587</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17</v>
      </c>
      <c r="D7" s="17" t="s">
        <v>230</v>
      </c>
      <c r="E7" s="20" t="n">
        <f aca="false">SUMPRODUCT((B13:B54&lt;&gt;"")*(B13:B54&lt;=$B$6)*(H13:H54&lt;&gt;"Claimed")*E13:E54)</f>
        <v>950000</v>
      </c>
      <c r="F7" s="20" t="n">
        <f aca="false">SUMPRODUCT((B13:B54&lt;&gt;"")*(B13:B54&lt;=$B$6)*(H13:H54&lt;&gt;"Claimed")*F13:F54)</f>
        <v>0</v>
      </c>
      <c r="G7" s="20" t="n">
        <f aca="false">SUMPRODUCT((B13:B54&lt;&gt;"")*(B13:B54&lt;=$B$6)*(H13:H54&lt;&gt;"Claimed")*G13:G54)</f>
        <v>1900000</v>
      </c>
    </row>
    <row r="8" customFormat="false" ht="15" hidden="false" customHeight="false" outlineLevel="0" collapsed="false">
      <c r="A8" s="16" t="s">
        <v>158</v>
      </c>
      <c r="B8" s="20" t="n">
        <f aca="false">IFERROR(INDEX(I13:I54,MATCH(TRUE(),INDEX(B13:B54&gt;B6,0),0)),0)</f>
        <v>24221005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99221005</v>
      </c>
    </row>
    <row r="11" customFormat="false" ht="15" hidden="false" customHeight="false" outlineLevel="0" collapsed="false">
      <c r="A11" s="16" t="s">
        <v>590</v>
      </c>
      <c r="B11" s="20" t="n">
        <f aca="true">IFERROR(B10/MAX(B5-NOW(),0.01),0)</f>
        <v>15528494.8366765</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169</v>
      </c>
      <c r="I28" s="24" t="n">
        <f aca="false">IF(B28="","",MAX(0,B28-$B$6))</f>
        <v>0</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24221005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49221005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74221005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99221005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124221005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149221005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174221005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199221005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224221005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274221005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324221005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424221005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574221005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774221005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974221005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1174221005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1374221005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1574221005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1774221005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1974221005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2174221005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2374221005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2574221005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2774221005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2974221005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3174221005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2026-10-12T11:38:55Z</dcterms:created>
  <dc:creator>openpyxl</dc:creator>
  <dc:description/>
  <dc:language>en-US</dc:language>
  <cp:lastModifiedBy/>
  <dcterms:modified xsi:type="dcterms:W3CDTF">2026-10-12T11:38:55Z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