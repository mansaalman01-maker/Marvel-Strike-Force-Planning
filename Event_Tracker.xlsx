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<sst xmlns="http://schemas.openxmlformats.org/spreadsheetml/2006/main" count="1238" uniqueCount="639">
  <si>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</si>
  <si>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</si>
  <si>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</si>
  <si>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</si>
  <si>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</si>
  <si>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</si>
  <si>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</si>
  <si>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</si>
  <si>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</si>
  <si>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</si>
  <si>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</si>
  <si>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</si>
  <si>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</si>
  <si>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</si>
  <si>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</si>
  <si>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</si>
  <si>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</si>
  <si>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</si>
  <si>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</si>
  <si>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</si>
  <si>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</si>
  <si>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</si>
  <si>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</si>
  <si>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</si>
  <si>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</si>
  <si>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</si>
  <si>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</si>
  <si>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</si>
  <si>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</si>
  <si>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</si>
  <si>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</si>
  <si>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</si>
  <si>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</si>
  <si>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</si>
  <si>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</si>
  <si>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</si>
  <si>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</si>
  <si>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</si>
  <si>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</si>
  <si>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</si>
  <si>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</si>
  <si>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</si>
  <si>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</si>
  <si>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</si>
  <si>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</si>
  <si>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</si>
  <si>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</si>
  <si>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</si>
  <si>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</si>
  <si>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</si>
  <si>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</si>
  <si>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</si>
  <si>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</si>
  <si>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</si>
  <si>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</si>
  <si>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</si>
  <si>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</si>
  <si>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</si>
  <si>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</si>
  <si>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</si>
  <si>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</si>
  <si>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</si>
  <si>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</si>
  <si>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</si>
  <si>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</si>
  <si>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</si>
  <si>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</si>
  <si>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</si>
  <si>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</si>
  <si>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</si>
  <si>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</si>
  <si>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</si>
  <si>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</si>
  <si>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</si>
  <si>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</si>
  <si>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</si>
  <si>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</si>
  <si>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</si>
  <si>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</si>
  <si>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</si>
  <si>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</si>
  <si>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</si>
  <si>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</si>
  <si>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</si>
  <si>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</si>
  <si>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</si>
  <si>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</si>
  <si>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</si>
  <si>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</si>
  <si>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</si>
  <si>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</si>
  <si>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</si>
  <si>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</si>
  <si>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</si>
  <si>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</si>
  <si>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</si>
  <si>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</si>
  <si>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</si>
  <si>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</si>
  <si>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</si>
  <si>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</si>
  <si>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</si>
  <si>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</si>
  <si>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</si>
  <si>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</si>
  <si>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</si>
  <si>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</si>
  <si>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</si>
  <si>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</si>
  <si>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</si>
  <si>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</si>
  <si>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</si>
  <si>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</si>
  <si>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</si>
  <si>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</si>
  <si>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</si>
  <si>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</si>
  <si>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</si>
  <si>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</si>
  <si>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</si>
  <si>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</si>
  <si>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</si>
  <si>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</si>
  <si>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</si>
  <si>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</si>
  <si>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</si>
  <si>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</si>
  <si>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</si>
  <si>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</si>
  <si>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</si>
  <si>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</si>
  <si>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</si>
  <si>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</si>
  <si>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</si>
  <si>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</si>
  <si>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</si>
  <si>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</si>
  <si>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</si>
  <si>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</si>
  <si>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</si>
  <si>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</si>
  <si>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</si>
  <si>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</si>
  <si>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</si>
  <si>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</si>
  <si>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</si>
  <si>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</si>
  <si>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</si>
  <si>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</si>
  <si>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</si>
  <si>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</si>
  <si>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</si>
  <si>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</si>
  <si>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</si>
  <si>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</si>
  <si>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</si>
  <si>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</si>
  <si>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</si>
  <si>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</si>
  <si>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</si>
  <si>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</si>
  <si>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</si>
  <si>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</si>
  <si>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</si>
  <si>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</si>
  <si>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</si>
  <si>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</si>
  <si>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</si>
  <si>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</si>
  <si>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</si>
  <si>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</si>
  <si>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</si>
  <si>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</si>
  <si>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</si>
  <si>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</si>
  <si>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</si>
  <si>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</si>
  <si>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</si>
  <si>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</si>
  <si>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</si>
  <si>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</si>
  <si>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</si>
  <si>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</si>
  <si>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</si>
  <si>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</si>
  <si>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</si>
  <si>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</si>
  <si>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</si>
  <si>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</si>
  <si>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</si>
  <si>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</si>
  <si>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</si>
  <si>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</si>
  <si>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</si>
  <si>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</si>
  <si>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</si>
  <si>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</si>
  <si>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</si>
  <si>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</si>
  <si>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</si>
  <si>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</si>
  <si>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</si>
  <si>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</si>
  <si>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</si>
  <si>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</si>
  <si>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</si>
  <si>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</si>
  <si>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</si>
  <si>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</si>
  <si>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</si>
  <si>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</si>
  <si>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</si>
  <si>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</si>
  <si>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</si>
  <si>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</si>
  <si>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</si>
  <si>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</si>
  <si>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</si>
  <si>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</si>
  <si>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</si>
  <si>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</si>
  <si>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</si>
  <si>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</si>
  <si>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</si>
  <si>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</si>
  <si>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</si>
  <si>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</si>
  <si>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</si>
  <si>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</si>
  <si>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</si>
  <si>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</si>
  <si>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</si>
  <si>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</si>
  <si>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</si>
  <si>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</si>
  <si>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</si>
  <si>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</si>
  <si>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</si>
  <si>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</si>
  <si>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</si>
  <si>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</si>
  <si>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</si>
  <si>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</si>
  <si>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</si>
  <si>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</si>
  <si>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</si>
  <si>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</si>
  <si>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</si>
  <si>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</si>
  <si>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</si>
  <si>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</si>
  <si>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</si>
  <si>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</si>
  <si>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</si>
  <si>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</si>
  <si>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</si>
  <si>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</si>
  <si>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</si>
  <si>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</si>
  <si>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</si>
  <si>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</si>
  <si>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</si>
  <si>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</si>
  <si>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</si>
  <si>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</si>
  <si>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</si>
  <si>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</si>
  <si>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</si>
  <si>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</si>
  <si>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</si>
  <si>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</si>
  <si>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</si>
  <si>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</si>
  <si>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</si>
  <si>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</si>
  <si>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</si>
  <si>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</si>
  <si>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</si>
  <si>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</si>
  <si>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</si>
  <si>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</si>
  <si>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</si>
  <si>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</si>
  <si>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</si>
  <si>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</si>
  <si>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</si>
  <si>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</si>
  <si>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</si>
  <si>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</si>
  <si>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</si>
  <si>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</si>
  <si>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</si>
  <si>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</si>
  <si>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</si>
  <si>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</si>
  <si>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</si>
  <si>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</si>
  <si>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</si>
  <si>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</si>
  <si>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</si>
  <si>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</si>
  <si>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</si>
  <si>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</si>
  <si>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</si>
  <si>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</si>
  <si>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</si>
  <si>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</si>
  <si>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</si>
  <si>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</si>
  <si>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</si>
  <si>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</si>
  <si>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</si>
  <si>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</si>
  <si>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</si>
  <si>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</si>
  <si>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</si>
  <si>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</si>
  <si>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</si>
  <si>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</si>
  <si>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</si>
  <si>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</si>
  <si>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</si>
  <si>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</si>
  <si>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</si>
  <si>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</si>
  <si>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</si>
  <si>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</si>
  <si>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</si>
  <si>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</si>
  <si>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</si>
  <si>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</si>
  <si>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</si>
  <si>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</si>
  <si>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</si>
  <si>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</si>
  <si>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</si>
  <si>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</si>
  <si>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</si>
  <si>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</si>
  <si>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</si>
  <si>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</si>
  <si>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</si>
  <si>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</si>
  <si>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</si>
  <si>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</si>
  <si>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</si>
  <si>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</si>
  <si>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</si>
  <si>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</si>
  <si>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</si>
  <si>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</si>
  <si>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</si>
  <si>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</si>
  <si>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</si>
  <si>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</si>
  <si>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</si>
  <si>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</si>
  <si>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</si>
  <si>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</si>
  <si>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</si>
  <si>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</si>
  <si>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</si>
  <si>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</si>
  <si>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</si>
  <si>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</si>
  <si>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</si>
  <si>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</si>
  <si>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</si>
  <si>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</si>
  <si>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</si>
  <si>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</si>
  <si>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</si>
  <si>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</si>
  <si>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</si>
  <si>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</si>
  <si>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</si>
  <si>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</si>
  <si>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</si>
  <si>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</si>
  <si>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</si>
  <si>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</si>
  <si>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</si>
  <si>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</si>
  <si>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</si>
  <si>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</si>
  <si>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</si>
  <si>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</si>
  <si>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</si>
  <si>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</si>
  <si>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</si>
  <si>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</si>
  <si>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</si>
  <si>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</si>
  <si>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</si>
  <si>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</si>
  <si>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</si>
  <si>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</si>
  <si>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</si>
  <si>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</si>
  <si>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</si>
  <si>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</si>
  <si>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</si>
  <si>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</si>
  <si>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</si>
  <si>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</si>
  <si>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</si>
  <si>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</si>
  <si>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</si>
  <si>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</si>
  <si>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</si>
  <si>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</si>
  <si>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</si>
  <si>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</si>
  <si>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</si>
  <si>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</si>
  <si>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</si>
  <si>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</si>
  <si>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</si>
  <si>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</si>
  <si>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</si>
  <si>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</si>
  <si>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</si>
  <si>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</si>
  <si>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</si>
  <si>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</si>
  <si>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</si>
  <si>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</si>
  <si>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</si>
  <si>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</si>
  <si>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</si>
  <si>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</si>
  <si>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</si>
  <si>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</si>
  <si>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</si>
  <si>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</si>
  <si>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</si>
  <si>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</si>
  <si>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</si>
  <si>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</si>
  <si>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</si>
  <si>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</si>
  <si>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</si>
  <si>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</si>
  <si>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</si>
  <si>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</si>
  <si>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</si>
  <si>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</si>
  <si>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</si>
  <si>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</si>
  <si>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</si>
  <si>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</si>
  <si>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</si>
  <si>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</si>
  <si>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</si>
  <si>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</si>
  <si>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</si>
  <si>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</si>
  <si>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</si>
  <si>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</si>
  <si>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</si>
  <si>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</si>
  <si>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</si>
  <si>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</si>
  <si>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</si>
  <si>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</si>
  <si>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</si>
  <si>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</si>
  <si>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</si>
  <si>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</si>
  <si>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</si>
  <si>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</si>
  <si>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</si>
  <si>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</si>
  <si>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</si>
  <si>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</si>
  <si>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</si>
  <si>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</si>
  <si>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</si>
  <si>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</si>
  <si>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</si>
  <si>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</si>
  <si>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</si>
  <si>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Uncanny Avengers, from training screen Oct 12</t>
  </si>
  <si>
    <t xml:space="preserve">Second Uncanny Avenger to level 101</t>
  </si>
  <si>
    <t xml:space="preserve">Estimate from Storm</t>
  </si>
  <si>
    <t xml:space="preserve">Third Uncanny Avenger to level 101</t>
  </si>
  <si>
    <t xml:space="preserve">Estimate from Storm.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</si>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</sst>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552405216.273781</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16720000</v>
      </c>
      <c r="C5" s="27" t="n">
        <v>336000</v>
      </c>
      <c r="D5" s="27" t="n">
        <v>3960000</v>
      </c>
      <c r="E5" s="27" t="n">
        <v>13650000</v>
      </c>
      <c r="F5" s="27" t="n">
        <v>227</v>
      </c>
      <c r="G5" s="27" t="n">
        <v>871</v>
      </c>
      <c r="H5" s="27" t="n">
        <v>522</v>
      </c>
    </row>
    <row r="6" customFormat="false" ht="15" hidden="false" customHeight="false" outlineLevel="0" collapsed="false">
      <c r="A6" s="16" t="s">
        <v>378</v>
      </c>
      <c r="B6" s="28" t="n">
        <f aca="false">SUMIFS(B13:B76,$I$13:$I$76,"Yes",$J$13:$J$76,"No")</f>
        <v>27050000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43770000</v>
      </c>
      <c r="C7" s="28" t="n">
        <f aca="false">C5+C6</f>
        <v>4986000</v>
      </c>
      <c r="D7" s="28" t="n">
        <f aca="false">D5+D6</f>
        <v>7846000</v>
      </c>
      <c r="E7" s="28" t="n">
        <f aca="false">E5+E6</f>
        <v>19036000</v>
      </c>
      <c r="F7" s="28" t="n">
        <f aca="false">F5+F6</f>
        <v>227</v>
      </c>
      <c r="G7" s="28" t="n">
        <f aca="false">G5+G6</f>
        <v>971</v>
      </c>
      <c r="H7" s="28" t="n">
        <f aca="false">H5+H6</f>
        <v>1407</v>
      </c>
    </row>
    <row r="8" customFormat="false" ht="15" hidden="false" customHeight="false" outlineLevel="0" collapsed="false">
      <c r="A8" s="16" t="s">
        <v>380</v>
      </c>
      <c r="B8" s="28" t="n">
        <f aca="false">SUMIF($J$80:$J$101,"Planned",B80:B101)</f>
        <v>4950010</v>
      </c>
      <c r="C8" s="28" t="n">
        <f aca="false">SUMIF($J$80:$J$101,"Planned",C80:C101)</f>
        <v>1710000</v>
      </c>
      <c r="D8" s="28" t="n">
        <f aca="false">SUMIF($J$80:$J$101,"Planned",D80:D101)</f>
        <v>1710000</v>
      </c>
      <c r="E8" s="28" t="n">
        <f aca="false">SUMIF($J$80:$J$101,"Planned",E80:E101)</f>
        <v>2640000</v>
      </c>
      <c r="F8" s="28" t="n">
        <f aca="false">SUMIF($J$80:$J$101,"Planned",F80:F101)</f>
        <v>9</v>
      </c>
      <c r="G8" s="28" t="n">
        <f aca="false">SUMIF($J$80:$J$101,"Planned",G80:G101)</f>
        <v>3</v>
      </c>
      <c r="H8" s="28" t="n">
        <f aca="false">SUMIF($J$80:$J$101,"Planned",H80:H101)</f>
        <v>492</v>
      </c>
    </row>
    <row r="9" customFormat="false" ht="15" hidden="false" customHeight="false" outlineLevel="0" collapsed="false">
      <c r="A9" s="16" t="s">
        <v>381</v>
      </c>
      <c r="B9" s="29" t="n">
        <f aca="false">B7-B8</f>
        <v>38819990</v>
      </c>
      <c r="C9" s="29" t="n">
        <f aca="false">C7-C8</f>
        <v>3276000</v>
      </c>
      <c r="D9" s="29" t="n">
        <f aca="false">D7-D8</f>
        <v>6136000</v>
      </c>
      <c r="E9" s="29" t="n">
        <f aca="false">E7-E8</f>
        <v>16396000</v>
      </c>
      <c r="F9" s="29" t="n">
        <f aca="false">F7-F8</f>
        <v>218</v>
      </c>
      <c r="G9" s="29" t="n">
        <f aca="false">G7-G8</f>
        <v>968</v>
      </c>
      <c r="H9" s="29" t="n">
        <f aca="false">H7-H8</f>
        <v>915</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387</v>
      </c>
      <c r="D49" s="30" t="n">
        <v>3300000</v>
      </c>
      <c r="E49" s="30" t="n">
        <v>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479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479</v>
      </c>
      <c r="K87" s="15" t="s">
        <v>484</v>
      </c>
    </row>
    <row r="88" customFormat="false" ht="15" hidden="false" customHeight="false" outlineLevel="0" collapsed="false">
      <c r="A88" s="12" t="s">
        <v>485</v>
      </c>
      <c r="B88" s="30" t="n">
        <v>1650000</v>
      </c>
      <c r="C88" s="30" t="n">
        <v>0</v>
      </c>
      <c r="D88" s="30" t="n">
        <v>0</v>
      </c>
      <c r="E88" s="30" t="n">
        <v>0</v>
      </c>
      <c r="F88" s="30" t="n">
        <v>3</v>
      </c>
      <c r="G88" s="30" t="n">
        <v>1</v>
      </c>
      <c r="H88" s="30" t="n">
        <v>164</v>
      </c>
      <c r="I88" s="30" t="n">
        <v>3000000</v>
      </c>
      <c r="J88" s="11" t="s">
        <v>479</v>
      </c>
      <c r="K88" s="15" t="s">
        <v>486</v>
      </c>
    </row>
    <row r="89" customFormat="false" ht="15" hidden="false" customHeight="false" outlineLevel="0" collapsed="false">
      <c r="A89" s="12" t="s">
        <v>487</v>
      </c>
      <c r="B89" s="27"/>
      <c r="C89" s="30" t="n">
        <v>0</v>
      </c>
      <c r="D89" s="30" t="n">
        <v>0</v>
      </c>
      <c r="E89" s="30" t="n">
        <v>0</v>
      </c>
      <c r="F89" s="30" t="n">
        <v>0</v>
      </c>
      <c r="G89" s="30" t="n">
        <v>0</v>
      </c>
      <c r="H89" s="30" t="n">
        <v>0</v>
      </c>
      <c r="I89" s="30" t="n">
        <v>17000000</v>
      </c>
      <c r="J89" s="11" t="s">
        <v>479</v>
      </c>
      <c r="K89" s="15" t="s">
        <v>488</v>
      </c>
    </row>
    <row r="90" customFormat="false" ht="15" hidden="false" customHeight="false" outlineLevel="0" collapsed="false">
      <c r="A90" s="12" t="s">
        <v>489</v>
      </c>
      <c r="B90" s="30" t="n">
        <v>0</v>
      </c>
      <c r="C90" s="30" t="n">
        <v>1710500</v>
      </c>
      <c r="D90" s="30" t="n">
        <v>1710000</v>
      </c>
      <c r="E90" s="30" t="n">
        <v>2640000</v>
      </c>
      <c r="F90" s="30" t="n">
        <v>0</v>
      </c>
      <c r="G90" s="30" t="n">
        <v>0</v>
      </c>
      <c r="H90" s="30" t="n">
        <v>0</v>
      </c>
      <c r="I90" s="30" t="n">
        <v>17000000</v>
      </c>
      <c r="J90" s="11" t="s">
        <v>469</v>
      </c>
      <c r="K90" s="15" t="s">
        <v>490</v>
      </c>
    </row>
    <row r="91" customFormat="false" ht="15" hidden="false" customHeight="false" outlineLevel="0" collapsed="false">
      <c r="A91" s="12" t="s">
        <v>491</v>
      </c>
      <c r="B91" s="30" t="n">
        <v>0</v>
      </c>
      <c r="C91" s="30" t="n">
        <v>1710000</v>
      </c>
      <c r="D91" s="30" t="n">
        <v>1710000</v>
      </c>
      <c r="E91" s="30" t="n">
        <v>2640000</v>
      </c>
      <c r="F91" s="30" t="n">
        <v>0</v>
      </c>
      <c r="G91" s="30" t="n">
        <v>0</v>
      </c>
      <c r="H91" s="30" t="n">
        <v>0</v>
      </c>
      <c r="I91" s="30" t="n">
        <v>17000000</v>
      </c>
      <c r="J91" s="11" t="s">
        <v>479</v>
      </c>
      <c r="K91" s="15" t="s">
        <v>492</v>
      </c>
    </row>
    <row r="92" customFormat="false" ht="15" hidden="false" customHeight="false" outlineLevel="0" collapsed="false">
      <c r="A92" s="12" t="s">
        <v>493</v>
      </c>
      <c r="B92" s="30" t="n">
        <v>0</v>
      </c>
      <c r="C92" s="27"/>
      <c r="D92" s="27"/>
      <c r="E92" s="27"/>
      <c r="F92" s="30" t="n">
        <v>0</v>
      </c>
      <c r="G92" s="30" t="n">
        <v>0</v>
      </c>
      <c r="H92" s="30" t="n">
        <v>0</v>
      </c>
      <c r="I92" s="30" t="n">
        <v>17000000</v>
      </c>
      <c r="J92" s="11" t="s">
        <v>476</v>
      </c>
      <c r="K92" s="15" t="s">
        <v>488</v>
      </c>
    </row>
    <row r="93" customFormat="false" ht="15" hidden="false" customHeight="false" outlineLevel="0" collapsed="false">
      <c r="A93" s="12" t="s">
        <v>494</v>
      </c>
      <c r="B93" s="30" t="n">
        <v>0</v>
      </c>
      <c r="C93" s="27"/>
      <c r="D93" s="27"/>
      <c r="E93" s="27"/>
      <c r="F93" s="30" t="n">
        <v>0</v>
      </c>
      <c r="G93" s="30" t="n">
        <v>0</v>
      </c>
      <c r="H93" s="30" t="n">
        <v>0</v>
      </c>
      <c r="I93" s="30" t="n">
        <v>17000000</v>
      </c>
      <c r="J93" s="11" t="s">
        <v>476</v>
      </c>
      <c r="K93" s="15" t="s">
        <v>488</v>
      </c>
    </row>
    <row r="94" customFormat="false" ht="15" hidden="false" customHeight="false" outlineLevel="0" collapsed="false">
      <c r="A94" s="12" t="s">
        <v>495</v>
      </c>
      <c r="B94" s="30" t="n">
        <v>0</v>
      </c>
      <c r="C94" s="27"/>
      <c r="D94" s="27"/>
      <c r="E94" s="27"/>
      <c r="F94" s="30" t="n">
        <v>0</v>
      </c>
      <c r="G94" s="30" t="n">
        <v>0</v>
      </c>
      <c r="H94" s="30" t="n">
        <v>0</v>
      </c>
      <c r="I94" s="30" t="n">
        <v>17000000</v>
      </c>
      <c r="J94" s="11" t="s">
        <v>476</v>
      </c>
      <c r="K94" s="15" t="s">
        <v>488</v>
      </c>
    </row>
    <row r="95" customFormat="false" ht="15" hidden="false" customHeight="false" outlineLevel="0" collapsed="false">
      <c r="A95" s="12" t="s">
        <v>496</v>
      </c>
      <c r="B95" s="30" t="n">
        <v>13000000</v>
      </c>
      <c r="C95" s="30" t="n">
        <v>0</v>
      </c>
      <c r="D95" s="30" t="n">
        <v>0</v>
      </c>
      <c r="E95" s="30" t="n">
        <v>0</v>
      </c>
      <c r="F95" s="27"/>
      <c r="G95" s="27"/>
      <c r="H95" s="27"/>
      <c r="I95" s="30" t="n">
        <v>8000000</v>
      </c>
      <c r="J95" s="11" t="s">
        <v>476</v>
      </c>
      <c r="K95" s="15" t="s">
        <v>497</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498</v>
      </c>
      <c r="I103" s="20" t="n">
        <f aca="false">SUMIF(J80:J101,"Planned",I80:I101)</f>
        <v>46000000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499</v>
      </c>
    </row>
    <row r="2" customFormat="false" ht="15" hidden="false" customHeight="false" outlineLevel="0" collapsed="false">
      <c r="A2" s="2" t="s">
        <v>500</v>
      </c>
    </row>
    <row r="4" customFormat="false" ht="26.85" hidden="false" customHeight="false" outlineLevel="0" collapsed="false">
      <c r="A4" s="3" t="s">
        <v>300</v>
      </c>
      <c r="B4" s="3" t="s">
        <v>299</v>
      </c>
      <c r="C4" s="3" t="s">
        <v>370</v>
      </c>
      <c r="D4" s="3" t="s">
        <v>501</v>
      </c>
      <c r="E4" s="3" t="s">
        <v>502</v>
      </c>
      <c r="F4" s="3" t="s">
        <v>503</v>
      </c>
      <c r="G4" s="3" t="s">
        <v>504</v>
      </c>
      <c r="H4" s="3" t="s">
        <v>505</v>
      </c>
      <c r="I4" s="3" t="s">
        <v>506</v>
      </c>
      <c r="J4" s="3" t="s">
        <v>507</v>
      </c>
      <c r="K4" s="3" t="s">
        <v>508</v>
      </c>
      <c r="L4" s="3" t="s">
        <v>509</v>
      </c>
    </row>
    <row r="5" customFormat="false" ht="15" hidden="false" customHeight="false" outlineLevel="0" collapsed="false">
      <c r="A5" s="31" t="s">
        <v>510</v>
      </c>
    </row>
    <row r="6" customFormat="false" ht="15" hidden="false" customHeight="false" outlineLevel="0" collapsed="false">
      <c r="A6" s="13" t="s">
        <v>511</v>
      </c>
      <c r="B6" s="13" t="s">
        <v>512</v>
      </c>
      <c r="C6" s="24" t="n">
        <v>25000</v>
      </c>
      <c r="D6" s="15" t="s">
        <v>513</v>
      </c>
      <c r="E6" s="32" t="s">
        <v>469</v>
      </c>
      <c r="F6" s="32" t="s">
        <v>469</v>
      </c>
      <c r="G6" s="32"/>
      <c r="H6" s="32"/>
      <c r="I6" s="32"/>
      <c r="J6" s="32"/>
      <c r="K6" s="32"/>
      <c r="L6" s="32"/>
    </row>
    <row r="7" customFormat="false" ht="15" hidden="false" customHeight="false" outlineLevel="0" collapsed="false">
      <c r="A7" s="13" t="s">
        <v>514</v>
      </c>
      <c r="B7" s="13" t="s">
        <v>512</v>
      </c>
      <c r="C7" s="24" t="n">
        <v>25000</v>
      </c>
      <c r="D7" s="15" t="s">
        <v>515</v>
      </c>
      <c r="E7" s="32" t="s">
        <v>469</v>
      </c>
      <c r="F7" s="32" t="s">
        <v>469</v>
      </c>
      <c r="G7" s="32"/>
      <c r="H7" s="32"/>
      <c r="I7" s="32"/>
      <c r="J7" s="32"/>
      <c r="K7" s="32"/>
      <c r="L7" s="32"/>
    </row>
    <row r="8" customFormat="false" ht="15" hidden="false" customHeight="false" outlineLevel="0" collapsed="false">
      <c r="A8" s="13" t="s">
        <v>516</v>
      </c>
      <c r="B8" s="13" t="s">
        <v>512</v>
      </c>
      <c r="C8" s="24" t="n">
        <v>50000</v>
      </c>
      <c r="D8" s="15" t="s">
        <v>517</v>
      </c>
      <c r="E8" s="32" t="s">
        <v>469</v>
      </c>
      <c r="F8" s="32" t="s">
        <v>469</v>
      </c>
      <c r="G8" s="32"/>
      <c r="H8" s="32"/>
      <c r="I8" s="32"/>
      <c r="J8" s="32"/>
      <c r="K8" s="32"/>
      <c r="L8" s="32"/>
    </row>
    <row r="9" customFormat="false" ht="15" hidden="false" customHeight="false" outlineLevel="0" collapsed="false">
      <c r="A9" s="13" t="s">
        <v>518</v>
      </c>
      <c r="B9" s="13" t="s">
        <v>512</v>
      </c>
      <c r="C9" s="24" t="n">
        <v>50000</v>
      </c>
      <c r="D9" s="15" t="s">
        <v>519</v>
      </c>
      <c r="E9" s="32" t="s">
        <v>469</v>
      </c>
      <c r="F9" s="32" t="s">
        <v>469</v>
      </c>
      <c r="G9" s="32"/>
      <c r="H9" s="32"/>
      <c r="I9" s="32"/>
      <c r="J9" s="32"/>
      <c r="K9" s="32"/>
      <c r="L9" s="32"/>
    </row>
    <row r="10" customFormat="false" ht="15" hidden="false" customHeight="false" outlineLevel="0" collapsed="false">
      <c r="A10" s="13" t="s">
        <v>520</v>
      </c>
      <c r="B10" s="13" t="s">
        <v>512</v>
      </c>
      <c r="C10" s="24" t="n">
        <v>50000</v>
      </c>
      <c r="D10" s="15" t="s">
        <v>517</v>
      </c>
      <c r="E10" s="32" t="s">
        <v>469</v>
      </c>
      <c r="F10" s="32" t="s">
        <v>469</v>
      </c>
      <c r="G10" s="32"/>
      <c r="H10" s="32"/>
      <c r="I10" s="32"/>
      <c r="J10" s="32"/>
      <c r="K10" s="32"/>
      <c r="L10" s="32"/>
    </row>
    <row r="11" customFormat="false" ht="15" hidden="false" customHeight="false" outlineLevel="0" collapsed="false">
      <c r="A11" s="13" t="s">
        <v>521</v>
      </c>
      <c r="B11" s="13" t="s">
        <v>512</v>
      </c>
      <c r="C11" s="24" t="n">
        <v>25000</v>
      </c>
      <c r="D11" s="15" t="s">
        <v>517</v>
      </c>
      <c r="E11" s="32" t="s">
        <v>469</v>
      </c>
      <c r="F11" s="32" t="s">
        <v>469</v>
      </c>
      <c r="G11" s="32"/>
      <c r="H11" s="32"/>
      <c r="I11" s="32"/>
      <c r="J11" s="32"/>
      <c r="K11" s="32"/>
      <c r="L11" s="32"/>
    </row>
    <row r="12" customFormat="false" ht="15" hidden="false" customHeight="false" outlineLevel="0" collapsed="false">
      <c r="A12" s="13" t="s">
        <v>522</v>
      </c>
      <c r="B12" s="13" t="s">
        <v>512</v>
      </c>
      <c r="C12" s="24" t="n">
        <v>25000</v>
      </c>
      <c r="D12" s="15" t="s">
        <v>523</v>
      </c>
      <c r="E12" s="32" t="s">
        <v>469</v>
      </c>
      <c r="F12" s="32" t="s">
        <v>469</v>
      </c>
      <c r="G12" s="32"/>
      <c r="H12" s="32"/>
      <c r="I12" s="32"/>
      <c r="J12" s="32"/>
      <c r="K12" s="32"/>
      <c r="L12" s="32"/>
    </row>
    <row r="13" customFormat="false" ht="15" hidden="false" customHeight="false" outlineLevel="0" collapsed="false">
      <c r="A13" s="13" t="s">
        <v>524</v>
      </c>
      <c r="B13" s="13" t="s">
        <v>512</v>
      </c>
      <c r="C13" s="24" t="n">
        <v>25000</v>
      </c>
      <c r="D13" s="15" t="s">
        <v>517</v>
      </c>
      <c r="E13" s="32" t="s">
        <v>469</v>
      </c>
      <c r="F13" s="32" t="s">
        <v>469</v>
      </c>
      <c r="G13" s="32"/>
      <c r="H13" s="32"/>
      <c r="I13" s="32"/>
      <c r="J13" s="32"/>
      <c r="K13" s="32"/>
      <c r="L13" s="32"/>
    </row>
    <row r="14" customFormat="false" ht="15" hidden="false" customHeight="false" outlineLevel="0" collapsed="false">
      <c r="A14" s="13" t="s">
        <v>525</v>
      </c>
      <c r="B14" s="13" t="s">
        <v>512</v>
      </c>
      <c r="C14" s="24" t="n">
        <v>50000</v>
      </c>
      <c r="D14" s="15" t="s">
        <v>526</v>
      </c>
      <c r="E14" s="32" t="s">
        <v>469</v>
      </c>
      <c r="F14" s="32" t="s">
        <v>469</v>
      </c>
      <c r="G14" s="32"/>
      <c r="H14" s="32"/>
      <c r="I14" s="32"/>
      <c r="J14" s="32"/>
      <c r="K14" s="32"/>
      <c r="L14" s="32"/>
    </row>
    <row r="15" customFormat="false" ht="15" hidden="false" customHeight="false" outlineLevel="0" collapsed="false">
      <c r="A15" s="13" t="s">
        <v>527</v>
      </c>
      <c r="B15" s="13" t="s">
        <v>512</v>
      </c>
      <c r="C15" s="24" t="n">
        <v>50000</v>
      </c>
      <c r="D15" s="15" t="s">
        <v>517</v>
      </c>
      <c r="E15" s="32" t="s">
        <v>469</v>
      </c>
      <c r="F15" s="32" t="s">
        <v>469</v>
      </c>
      <c r="G15" s="32"/>
      <c r="H15" s="32"/>
      <c r="I15" s="32"/>
      <c r="J15" s="32"/>
      <c r="K15" s="32"/>
      <c r="L15" s="32"/>
    </row>
    <row r="16" customFormat="false" ht="15" hidden="false" customHeight="false" outlineLevel="0" collapsed="false">
      <c r="A16" s="13" t="s">
        <v>528</v>
      </c>
      <c r="B16" s="13" t="s">
        <v>512</v>
      </c>
      <c r="C16" s="24" t="n">
        <v>1000000</v>
      </c>
      <c r="D16" s="15" t="s">
        <v>529</v>
      </c>
      <c r="E16" s="32" t="s">
        <v>469</v>
      </c>
      <c r="F16" s="32" t="s">
        <v>469</v>
      </c>
      <c r="G16" s="32"/>
      <c r="H16" s="32"/>
      <c r="I16" s="32"/>
      <c r="J16" s="32"/>
      <c r="K16" s="32"/>
      <c r="L16" s="32"/>
    </row>
    <row r="17" customFormat="false" ht="15" hidden="false" customHeight="false" outlineLevel="0" collapsed="false">
      <c r="A17" s="13" t="s">
        <v>530</v>
      </c>
      <c r="B17" s="13" t="s">
        <v>531</v>
      </c>
      <c r="C17" s="24" t="n">
        <v>100000</v>
      </c>
      <c r="D17" s="15" t="s">
        <v>532</v>
      </c>
      <c r="E17" s="32"/>
      <c r="F17" s="32" t="s">
        <v>469</v>
      </c>
      <c r="G17" s="32"/>
      <c r="H17" s="32"/>
      <c r="I17" s="32"/>
      <c r="J17" s="32"/>
      <c r="K17" s="32"/>
      <c r="L17" s="32"/>
    </row>
    <row r="18" customFormat="false" ht="15" hidden="false" customHeight="false" outlineLevel="0" collapsed="false">
      <c r="A18" s="13" t="s">
        <v>533</v>
      </c>
      <c r="B18" s="13" t="s">
        <v>531</v>
      </c>
      <c r="C18" s="24" t="n">
        <v>25000</v>
      </c>
      <c r="D18" s="15" t="s">
        <v>534</v>
      </c>
      <c r="E18" s="32" t="s">
        <v>469</v>
      </c>
      <c r="F18" s="32" t="s">
        <v>469</v>
      </c>
      <c r="G18" s="32"/>
      <c r="H18" s="32"/>
      <c r="I18" s="32"/>
      <c r="J18" s="32"/>
      <c r="K18" s="32"/>
      <c r="L18" s="32"/>
    </row>
    <row r="19" customFormat="false" ht="15" hidden="false" customHeight="false" outlineLevel="0" collapsed="false">
      <c r="A19" s="13" t="s">
        <v>535</v>
      </c>
      <c r="B19" s="13" t="s">
        <v>531</v>
      </c>
      <c r="C19" s="24" t="n">
        <v>25000</v>
      </c>
      <c r="D19" s="15" t="s">
        <v>536</v>
      </c>
      <c r="E19" s="32" t="s">
        <v>469</v>
      </c>
      <c r="F19" s="32" t="s">
        <v>469</v>
      </c>
      <c r="G19" s="32"/>
      <c r="H19" s="32"/>
      <c r="I19" s="32"/>
      <c r="J19" s="32"/>
      <c r="K19" s="32"/>
      <c r="L19" s="32"/>
    </row>
    <row r="20" customFormat="false" ht="15" hidden="false" customHeight="false" outlineLevel="0" collapsed="false">
      <c r="A20" s="13" t="s">
        <v>537</v>
      </c>
      <c r="B20" s="13" t="s">
        <v>531</v>
      </c>
      <c r="C20" s="24" t="n">
        <v>75000</v>
      </c>
      <c r="D20" s="15" t="s">
        <v>538</v>
      </c>
      <c r="E20" s="32" t="s">
        <v>469</v>
      </c>
      <c r="F20" s="32" t="s">
        <v>469</v>
      </c>
      <c r="G20" s="32"/>
      <c r="H20" s="32"/>
      <c r="I20" s="32"/>
      <c r="J20" s="32"/>
      <c r="K20" s="32"/>
      <c r="L20" s="32"/>
    </row>
    <row r="21" customFormat="false" ht="15" hidden="false" customHeight="false" outlineLevel="0" collapsed="false">
      <c r="A21" s="31" t="s">
        <v>539</v>
      </c>
    </row>
    <row r="22" customFormat="false" ht="15" hidden="false" customHeight="false" outlineLevel="0" collapsed="false">
      <c r="A22" s="13" t="s">
        <v>540</v>
      </c>
      <c r="B22" s="13" t="s">
        <v>541</v>
      </c>
      <c r="C22" s="24" t="n">
        <v>0</v>
      </c>
      <c r="D22" s="15" t="s">
        <v>542</v>
      </c>
      <c r="E22" s="32" t="s">
        <v>469</v>
      </c>
      <c r="F22" s="32"/>
      <c r="G22" s="32"/>
      <c r="H22" s="32"/>
      <c r="I22" s="32"/>
      <c r="J22" s="32"/>
      <c r="K22" s="32"/>
      <c r="L22" s="32"/>
    </row>
    <row r="23" customFormat="false" ht="15" hidden="false" customHeight="false" outlineLevel="0" collapsed="false">
      <c r="A23" s="13" t="s">
        <v>543</v>
      </c>
      <c r="B23" s="13" t="s">
        <v>541</v>
      </c>
      <c r="C23" s="24" t="n">
        <v>0</v>
      </c>
      <c r="D23" s="15" t="s">
        <v>542</v>
      </c>
      <c r="E23" s="32"/>
      <c r="F23" s="32"/>
      <c r="G23" s="32"/>
      <c r="H23" s="32"/>
      <c r="I23" s="32"/>
      <c r="J23" s="32"/>
      <c r="K23" s="32"/>
      <c r="L23" s="32"/>
    </row>
    <row r="24" customFormat="false" ht="15" hidden="false" customHeight="false" outlineLevel="0" collapsed="false">
      <c r="A24" s="13" t="s">
        <v>544</v>
      </c>
      <c r="B24" s="13" t="s">
        <v>541</v>
      </c>
      <c r="C24" s="24" t="n">
        <v>0</v>
      </c>
      <c r="D24" s="15" t="s">
        <v>542</v>
      </c>
      <c r="E24" s="32"/>
      <c r="F24" s="32"/>
      <c r="G24" s="32"/>
      <c r="H24" s="32"/>
      <c r="I24" s="32"/>
      <c r="J24" s="32"/>
      <c r="K24" s="32"/>
      <c r="L24" s="32"/>
    </row>
    <row r="25" customFormat="false" ht="15" hidden="false" customHeight="false" outlineLevel="0" collapsed="false">
      <c r="A25" s="13" t="s">
        <v>545</v>
      </c>
      <c r="B25" s="13" t="s">
        <v>546</v>
      </c>
      <c r="C25" s="24" t="n">
        <v>900000</v>
      </c>
      <c r="D25" s="15" t="s">
        <v>547</v>
      </c>
      <c r="E25" s="32" t="s">
        <v>469</v>
      </c>
      <c r="F25" s="32" t="s">
        <v>469</v>
      </c>
      <c r="G25" s="32"/>
      <c r="H25" s="32"/>
      <c r="I25" s="32"/>
      <c r="J25" s="32"/>
      <c r="K25" s="32"/>
      <c r="L25" s="32"/>
    </row>
    <row r="26" customFormat="false" ht="15" hidden="false" customHeight="false" outlineLevel="0" collapsed="false">
      <c r="A26" s="13" t="s">
        <v>548</v>
      </c>
      <c r="B26" s="13" t="s">
        <v>546</v>
      </c>
      <c r="C26" s="24" t="n">
        <v>0</v>
      </c>
      <c r="D26" s="15" t="s">
        <v>549</v>
      </c>
      <c r="E26" s="32" t="s">
        <v>469</v>
      </c>
      <c r="F26" s="32"/>
      <c r="G26" s="32"/>
      <c r="H26" s="32"/>
      <c r="I26" s="32"/>
      <c r="J26" s="32"/>
      <c r="K26" s="32"/>
      <c r="L26" s="32"/>
    </row>
    <row r="27" customFormat="false" ht="15" hidden="false" customHeight="false" outlineLevel="0" collapsed="false">
      <c r="A27" s="13" t="s">
        <v>550</v>
      </c>
      <c r="B27" s="13" t="s">
        <v>551</v>
      </c>
      <c r="C27" s="24" t="n">
        <v>0</v>
      </c>
      <c r="D27" s="15" t="s">
        <v>552</v>
      </c>
      <c r="E27" s="32"/>
      <c r="F27" s="32"/>
      <c r="G27" s="32"/>
      <c r="H27" s="32"/>
      <c r="I27" s="32"/>
      <c r="J27" s="32"/>
      <c r="K27" s="32"/>
      <c r="L27" s="32"/>
    </row>
    <row r="28" customFormat="false" ht="15" hidden="false" customHeight="false" outlineLevel="0" collapsed="false">
      <c r="A28" s="13" t="s">
        <v>553</v>
      </c>
      <c r="B28" s="13" t="s">
        <v>554</v>
      </c>
      <c r="C28" s="24" t="n">
        <v>0</v>
      </c>
      <c r="D28" s="15" t="s">
        <v>555</v>
      </c>
      <c r="E28" s="32"/>
      <c r="F28" s="32"/>
      <c r="G28" s="32"/>
      <c r="H28" s="32"/>
      <c r="I28" s="32"/>
      <c r="J28" s="32"/>
      <c r="K28" s="32"/>
      <c r="L28" s="32"/>
    </row>
    <row r="29" customFormat="false" ht="15" hidden="false" customHeight="false" outlineLevel="0" collapsed="false">
      <c r="A29" s="31" t="s">
        <v>556</v>
      </c>
    </row>
    <row r="30" customFormat="false" ht="15" hidden="false" customHeight="false" outlineLevel="0" collapsed="false">
      <c r="A30" s="13" t="s">
        <v>557</v>
      </c>
      <c r="B30" s="13" t="s">
        <v>558</v>
      </c>
      <c r="C30" s="24" t="n">
        <v>0</v>
      </c>
      <c r="D30" s="15" t="s">
        <v>559</v>
      </c>
      <c r="E30" s="32"/>
      <c r="F30" s="32"/>
      <c r="G30" s="32"/>
      <c r="H30" s="32"/>
      <c r="I30" s="32"/>
      <c r="J30" s="32"/>
      <c r="K30" s="32"/>
      <c r="L30" s="32"/>
    </row>
    <row r="31" customFormat="false" ht="15" hidden="false" customHeight="false" outlineLevel="0" collapsed="false">
      <c r="A31" s="13" t="s">
        <v>560</v>
      </c>
      <c r="B31" s="13" t="s">
        <v>558</v>
      </c>
      <c r="C31" s="24" t="n">
        <v>0</v>
      </c>
      <c r="D31" s="15" t="s">
        <v>561</v>
      </c>
      <c r="E31" s="32"/>
      <c r="F31" s="32"/>
      <c r="G31" s="32"/>
      <c r="H31" s="32"/>
      <c r="I31" s="32"/>
      <c r="J31" s="32"/>
      <c r="K31" s="32"/>
      <c r="L31" s="32"/>
    </row>
    <row r="32" customFormat="false" ht="15" hidden="false" customHeight="false" outlineLevel="0" collapsed="false">
      <c r="A32" s="13" t="s">
        <v>562</v>
      </c>
      <c r="B32" s="13" t="s">
        <v>558</v>
      </c>
      <c r="C32" s="24" t="n">
        <v>0</v>
      </c>
      <c r="D32" s="15" t="s">
        <v>563</v>
      </c>
      <c r="E32" s="32"/>
      <c r="F32" s="32"/>
      <c r="G32" s="32"/>
      <c r="H32" s="32"/>
      <c r="I32" s="32"/>
      <c r="J32" s="32"/>
      <c r="K32" s="32"/>
      <c r="L32" s="32"/>
    </row>
    <row r="33" customFormat="false" ht="15" hidden="false" customHeight="false" outlineLevel="0" collapsed="false">
      <c r="A33" s="13" t="s">
        <v>564</v>
      </c>
      <c r="B33" s="13" t="s">
        <v>565</v>
      </c>
      <c r="C33" s="24" t="n">
        <v>0</v>
      </c>
      <c r="D33" s="15" t="s">
        <v>566</v>
      </c>
      <c r="E33" s="32" t="s">
        <v>469</v>
      </c>
      <c r="F33" s="32"/>
      <c r="G33" s="32"/>
      <c r="H33" s="32"/>
      <c r="I33" s="32"/>
      <c r="J33" s="32"/>
      <c r="K33" s="32"/>
      <c r="L33" s="32"/>
    </row>
    <row r="34" customFormat="false" ht="15" hidden="false" customHeight="false" outlineLevel="0" collapsed="false">
      <c r="A34" s="13" t="s">
        <v>567</v>
      </c>
      <c r="B34" s="13" t="s">
        <v>558</v>
      </c>
      <c r="C34" s="24" t="n">
        <v>0</v>
      </c>
      <c r="D34" s="15" t="s">
        <v>568</v>
      </c>
      <c r="E34" s="32"/>
      <c r="F34" s="32"/>
      <c r="G34" s="32"/>
      <c r="H34" s="32"/>
      <c r="I34" s="32"/>
      <c r="J34" s="32"/>
      <c r="K34" s="32"/>
      <c r="L34" s="32"/>
    </row>
    <row r="35" customFormat="false" ht="15" hidden="false" customHeight="false" outlineLevel="0" collapsed="false">
      <c r="A35" s="13" t="s">
        <v>569</v>
      </c>
      <c r="B35" s="13" t="s">
        <v>565</v>
      </c>
      <c r="C35" s="24" t="n">
        <v>0</v>
      </c>
      <c r="D35" s="15" t="s">
        <v>570</v>
      </c>
      <c r="E35" s="32"/>
      <c r="F35" s="32"/>
      <c r="G35" s="32"/>
      <c r="H35" s="32"/>
      <c r="I35" s="32"/>
      <c r="J35" s="32"/>
      <c r="K35" s="32"/>
      <c r="L35" s="32"/>
    </row>
    <row r="36" customFormat="false" ht="15" hidden="false" customHeight="false" outlineLevel="0" collapsed="false">
      <c r="A36" s="13" t="s">
        <v>571</v>
      </c>
      <c r="B36" s="13" t="s">
        <v>565</v>
      </c>
      <c r="C36" s="24" t="n">
        <v>0</v>
      </c>
      <c r="D36" s="15" t="s">
        <v>570</v>
      </c>
      <c r="E36" s="32"/>
      <c r="F36" s="32"/>
      <c r="G36" s="32"/>
      <c r="H36" s="32"/>
      <c r="I36" s="32"/>
      <c r="J36" s="32"/>
      <c r="K36" s="32"/>
      <c r="L36" s="32"/>
    </row>
    <row r="37" customFormat="false" ht="15" hidden="false" customHeight="false" outlineLevel="0" collapsed="false">
      <c r="A37" s="13" t="s">
        <v>572</v>
      </c>
      <c r="B37" s="13" t="s">
        <v>558</v>
      </c>
      <c r="C37" s="24" t="n">
        <v>0</v>
      </c>
      <c r="D37" s="15" t="s">
        <v>573</v>
      </c>
      <c r="E37" s="32"/>
      <c r="F37" s="32"/>
      <c r="G37" s="32"/>
      <c r="H37" s="32"/>
      <c r="I37" s="32"/>
      <c r="J37" s="32"/>
      <c r="K37" s="32"/>
      <c r="L37" s="32"/>
    </row>
    <row r="38" customFormat="false" ht="15" hidden="false" customHeight="false" outlineLevel="0" collapsed="false">
      <c r="A38" s="13" t="s">
        <v>574</v>
      </c>
      <c r="B38" s="13" t="s">
        <v>558</v>
      </c>
      <c r="C38" s="24" t="n">
        <v>0</v>
      </c>
      <c r="D38" s="15" t="s">
        <v>575</v>
      </c>
      <c r="E38" s="32"/>
      <c r="F38" s="32"/>
      <c r="G38" s="32"/>
      <c r="H38" s="32"/>
      <c r="I38" s="32"/>
      <c r="J38" s="32"/>
      <c r="K38" s="32"/>
      <c r="L38" s="32"/>
    </row>
    <row r="40" customFormat="false" ht="15" hidden="false" customHeight="false" outlineLevel="0" collapsed="false">
      <c r="A40" s="16" t="s">
        <v>576</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577</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578</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579</v>
      </c>
    </row>
    <row r="2" customFormat="false" ht="15" hidden="false" customHeight="false" outlineLevel="0" collapsed="false">
      <c r="A2" s="2" t="s">
        <v>580</v>
      </c>
    </row>
    <row r="4" customFormat="false" ht="15" hidden="false" customHeight="false" outlineLevel="0" collapsed="false">
      <c r="A4" s="16" t="s">
        <v>224</v>
      </c>
      <c r="B4" s="17" t="s">
        <v>581</v>
      </c>
      <c r="D4" s="16" t="s">
        <v>582</v>
      </c>
    </row>
    <row r="5" customFormat="false" ht="15" hidden="false" customHeight="false" outlineLevel="0" collapsed="false">
      <c r="A5" s="16" t="s">
        <v>155</v>
      </c>
      <c r="B5" s="18" t="n">
        <v>46313.7083333333</v>
      </c>
      <c r="E5" s="16" t="s">
        <v>583</v>
      </c>
      <c r="F5" s="16" t="s">
        <v>584</v>
      </c>
      <c r="G5" s="16" t="s">
        <v>585</v>
      </c>
    </row>
    <row r="6" customFormat="false" ht="15" hidden="false" customHeight="false" outlineLevel="0" collapsed="false">
      <c r="A6" s="16" t="s">
        <v>226</v>
      </c>
      <c r="B6" s="19" t="n">
        <v>308343695</v>
      </c>
      <c r="D6" s="17" t="s">
        <v>586</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587</v>
      </c>
      <c r="B9" s="34" t="n">
        <v>20</v>
      </c>
    </row>
    <row r="10" customFormat="false" ht="15" hidden="false" customHeight="false" outlineLevel="0" collapsed="false">
      <c r="A10" s="16" t="s">
        <v>588</v>
      </c>
      <c r="B10" s="20" t="n">
        <f aca="false">MAX(0,INDEX(B13:B54,B9)-B6)</f>
        <v>116656305</v>
      </c>
    </row>
    <row r="11" customFormat="false" ht="15" hidden="false" customHeight="false" outlineLevel="0" collapsed="false">
      <c r="A11" s="16" t="s">
        <v>589</v>
      </c>
      <c r="B11" s="20" t="n">
        <f aca="true">IFERROR(B10/MAX(B5-NOW(),0.01),0)</f>
        <v>18068577.2973275</v>
      </c>
    </row>
    <row r="12" customFormat="false" ht="15" hidden="false" customHeight="false" outlineLevel="0" collapsed="false">
      <c r="A12" s="3" t="s">
        <v>159</v>
      </c>
      <c r="B12" s="3" t="s">
        <v>233</v>
      </c>
      <c r="C12" s="3" t="s">
        <v>590</v>
      </c>
      <c r="D12" s="3" t="s">
        <v>501</v>
      </c>
      <c r="E12" s="3" t="s">
        <v>583</v>
      </c>
      <c r="F12" s="3" t="s">
        <v>584</v>
      </c>
      <c r="G12" s="3" t="s">
        <v>585</v>
      </c>
      <c r="H12" s="3" t="s">
        <v>12</v>
      </c>
      <c r="I12" s="3" t="s">
        <v>234</v>
      </c>
    </row>
    <row r="13" customFormat="false" ht="15" hidden="false" customHeight="false" outlineLevel="0" collapsed="false">
      <c r="A13" s="26" t="n">
        <v>1</v>
      </c>
      <c r="B13" s="27"/>
      <c r="C13" s="12"/>
      <c r="D13" s="12" t="s">
        <v>591</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592</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593</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593</v>
      </c>
      <c r="E16" s="30" t="n">
        <v>0</v>
      </c>
      <c r="F16" s="30" t="n">
        <v>0</v>
      </c>
      <c r="G16" s="30" t="n">
        <v>0</v>
      </c>
      <c r="H16" s="11" t="s">
        <v>166</v>
      </c>
      <c r="I16" s="24" t="str">
        <f aca="false">IF(B16="","",MAX(0,B16-$B$6))</f>
        <v/>
      </c>
    </row>
    <row r="17" customFormat="false" ht="15" hidden="false" customHeight="false" outlineLevel="0" collapsed="false">
      <c r="A17" s="26" t="n">
        <v>5</v>
      </c>
      <c r="B17" s="27"/>
      <c r="C17" s="12" t="s">
        <v>594</v>
      </c>
      <c r="D17" s="12" t="s">
        <v>595</v>
      </c>
      <c r="E17" s="30" t="n">
        <v>0</v>
      </c>
      <c r="F17" s="30" t="n">
        <v>0</v>
      </c>
      <c r="G17" s="30" t="n">
        <v>0</v>
      </c>
      <c r="H17" s="11" t="s">
        <v>166</v>
      </c>
      <c r="I17" s="24" t="str">
        <f aca="false">IF(B17="","",MAX(0,B17-$B$6))</f>
        <v/>
      </c>
    </row>
    <row r="18" customFormat="false" ht="15" hidden="false" customHeight="false" outlineLevel="0" collapsed="false">
      <c r="A18" s="26" t="n">
        <v>6</v>
      </c>
      <c r="B18" s="27"/>
      <c r="C18" s="12" t="s">
        <v>596</v>
      </c>
      <c r="D18" s="12" t="s">
        <v>597</v>
      </c>
      <c r="E18" s="30" t="n">
        <v>0</v>
      </c>
      <c r="F18" s="30" t="n">
        <v>0</v>
      </c>
      <c r="G18" s="30" t="n">
        <v>0</v>
      </c>
      <c r="H18" s="11" t="s">
        <v>166</v>
      </c>
      <c r="I18" s="24" t="str">
        <f aca="false">IF(B18="","",MAX(0,B18-$B$6))</f>
        <v/>
      </c>
    </row>
    <row r="19" customFormat="false" ht="15" hidden="false" customHeight="false" outlineLevel="0" collapsed="false">
      <c r="A19" s="26" t="n">
        <v>7</v>
      </c>
      <c r="B19" s="27"/>
      <c r="C19" s="12" t="s">
        <v>598</v>
      </c>
      <c r="D19" s="12" t="s">
        <v>599</v>
      </c>
      <c r="E19" s="30" t="n">
        <v>0</v>
      </c>
      <c r="F19" s="30" t="n">
        <v>0</v>
      </c>
      <c r="G19" s="30" t="n">
        <v>0</v>
      </c>
      <c r="H19" s="11" t="s">
        <v>166</v>
      </c>
      <c r="I19" s="24" t="str">
        <f aca="false">IF(B19="","",MAX(0,B19-$B$6))</f>
        <v/>
      </c>
    </row>
    <row r="20" customFormat="false" ht="15" hidden="false" customHeight="false" outlineLevel="0" collapsed="false">
      <c r="A20" s="26" t="n">
        <v>8</v>
      </c>
      <c r="B20" s="27"/>
      <c r="C20" s="12" t="s">
        <v>600</v>
      </c>
      <c r="D20" s="12" t="s">
        <v>601</v>
      </c>
      <c r="E20" s="30" t="n">
        <v>0</v>
      </c>
      <c r="F20" s="30" t="n">
        <v>0</v>
      </c>
      <c r="G20" s="30" t="n">
        <v>0</v>
      </c>
      <c r="H20" s="11" t="s">
        <v>166</v>
      </c>
      <c r="I20" s="24" t="str">
        <f aca="false">IF(B20="","",MAX(0,B20-$B$6))</f>
        <v/>
      </c>
    </row>
    <row r="21" customFormat="false" ht="15" hidden="false" customHeight="false" outlineLevel="0" collapsed="false">
      <c r="A21" s="26" t="n">
        <v>9</v>
      </c>
      <c r="B21" s="27"/>
      <c r="C21" s="12" t="s">
        <v>602</v>
      </c>
      <c r="D21" s="12" t="s">
        <v>603</v>
      </c>
      <c r="E21" s="30" t="n">
        <v>0</v>
      </c>
      <c r="F21" s="30" t="n">
        <v>0</v>
      </c>
      <c r="G21" s="30" t="n">
        <v>0</v>
      </c>
      <c r="H21" s="11" t="s">
        <v>166</v>
      </c>
      <c r="I21" s="24" t="str">
        <f aca="false">IF(B21="","",MAX(0,B21-$B$6))</f>
        <v/>
      </c>
    </row>
    <row r="22" customFormat="false" ht="15" hidden="false" customHeight="false" outlineLevel="0" collapsed="false">
      <c r="A22" s="26" t="n">
        <v>10</v>
      </c>
      <c r="B22" s="27"/>
      <c r="C22" s="12" t="s">
        <v>604</v>
      </c>
      <c r="D22" s="12" t="s">
        <v>605</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606</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607</v>
      </c>
      <c r="D24" s="12" t="s">
        <v>608</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609</v>
      </c>
      <c r="D25" s="12" t="s">
        <v>608</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610</v>
      </c>
      <c r="D26" s="12" t="s">
        <v>608</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608</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611</v>
      </c>
      <c r="D28" s="12" t="s">
        <v>608</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612</v>
      </c>
      <c r="D29" s="12" t="s">
        <v>608</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613</v>
      </c>
      <c r="D30" s="12" t="s">
        <v>614</v>
      </c>
      <c r="E30" s="27"/>
      <c r="F30" s="27"/>
      <c r="G30" s="27"/>
      <c r="H30" s="11" t="s">
        <v>169</v>
      </c>
      <c r="I30" s="24" t="n">
        <f aca="false">IF(B30="","",MAX(0,B30-$B$6))</f>
        <v>66656305</v>
      </c>
    </row>
    <row r="31" customFormat="false" ht="15" hidden="false" customHeight="false" outlineLevel="0" collapsed="false">
      <c r="A31" s="26" t="n">
        <v>19</v>
      </c>
      <c r="B31" s="30" t="n">
        <v>400000000</v>
      </c>
      <c r="C31" s="12" t="s">
        <v>615</v>
      </c>
      <c r="D31" s="12" t="s">
        <v>608</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616</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617</v>
      </c>
      <c r="D33" s="12" t="s">
        <v>608</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618</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619</v>
      </c>
      <c r="D35" s="12" t="s">
        <v>608</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620</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621</v>
      </c>
      <c r="D37" s="12" t="s">
        <v>608</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622</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623</v>
      </c>
      <c r="D39" s="12" t="s">
        <v>608</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624</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625</v>
      </c>
      <c r="D41" s="12" t="s">
        <v>608</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626</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627</v>
      </c>
      <c r="D43" s="12" t="s">
        <v>608</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628</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629</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627</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630</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631</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632</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633</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634</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635</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636</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637</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2026-10-12T10:02:52Z</dcterms:created>
  <dc:creator>openpyxl</dc:creator>
  <dc:description/>
  <dc:language>en-US</dc:language>
  <cp:lastModifiedBy/>
  <dcterms:modified xsi:type="dcterms:W3CDTF">2026-10-12T10:02:53Z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