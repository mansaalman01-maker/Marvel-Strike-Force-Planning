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<sst xmlns="http://schemas.openxmlformats.org/spreadsheetml/2006/main" count="1214" uniqueCount="626">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</sst>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1017384976</v>
      </c>
      <c r="D6" s="15" t="s">
        <v>242</v>
      </c>
      <c r="E6" s="19" t="n">
        <f aca="false">B6+Scoring!F51</f>
        <v>6174884976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32615024</v>
      </c>
    </row>
    <row r="10" customFormat="false" ht="15" hidden="false" customHeight="false" outlineLevel="0" collapsed="false">
      <c r="A10" s="15" t="s">
        <v>246</v>
      </c>
      <c r="B10" s="19" t="n">
        <f aca="false">MAX(0,B76-B6)</f>
        <v>3107615024</v>
      </c>
    </row>
    <row r="11" customFormat="false" ht="15" hidden="false" customHeight="false" outlineLevel="0" collapsed="false">
      <c r="A11" s="15" t="s">
        <v>247</v>
      </c>
      <c r="B11" s="19" t="n">
        <f aca="true">IFERROR(B10/MAX(B5-NOW(),0.01),0)</f>
        <v>2208205393.34929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32615024</v>
      </c>
      <c r="F64" s="10" t="s">
        <v>185</v>
      </c>
    </row>
    <row r="65" customFormat="false" ht="15" hidden="false" customHeight="false" outlineLevel="0" collapsed="false">
      <c r="A65" s="25" t="n">
        <v>53</v>
      </c>
      <c r="B65" s="13" t="n">
        <v>1125000000</v>
      </c>
      <c r="C65" s="11" t="s">
        <v>300</v>
      </c>
      <c r="D65" s="11"/>
      <c r="E65" s="23" t="n">
        <f aca="false">IF(B65="","",MAX(0,B65-$B$6))</f>
        <v>107615024</v>
      </c>
      <c r="F65" s="10" t="s">
        <v>185</v>
      </c>
    </row>
    <row r="66" customFormat="false" ht="15" hidden="false" customHeight="false" outlineLevel="0" collapsed="false">
      <c r="A66" s="25" t="n">
        <v>54</v>
      </c>
      <c r="B66" s="13" t="n">
        <v>1200000000</v>
      </c>
      <c r="C66" s="11" t="s">
        <v>301</v>
      </c>
      <c r="D66" s="11"/>
      <c r="E66" s="23" t="n">
        <f aca="false">IF(B66="","",MAX(0,B66-$B$6))</f>
        <v>182615024</v>
      </c>
      <c r="F66" s="10" t="s">
        <v>185</v>
      </c>
    </row>
    <row r="67" customFormat="false" ht="15" hidden="false" customHeight="false" outlineLevel="0" collapsed="false">
      <c r="A67" s="25" t="n">
        <v>55</v>
      </c>
      <c r="B67" s="13" t="n">
        <v>1350000000</v>
      </c>
      <c r="C67" s="11" t="s">
        <v>302</v>
      </c>
      <c r="D67" s="11"/>
      <c r="E67" s="23" t="n">
        <f aca="false">IF(B67="","",MAX(0,B67-$B$6))</f>
        <v>332615024</v>
      </c>
      <c r="F67" s="10" t="s">
        <v>185</v>
      </c>
    </row>
    <row r="68" customFormat="false" ht="15" hidden="false" customHeight="false" outlineLevel="0" collapsed="false">
      <c r="A68" s="25" t="n">
        <v>56</v>
      </c>
      <c r="B68" s="13" t="n">
        <v>1500000000</v>
      </c>
      <c r="C68" s="11" t="s">
        <v>303</v>
      </c>
      <c r="D68" s="11"/>
      <c r="E68" s="23" t="n">
        <f aca="false">IF(B68="","",MAX(0,B68-$B$6))</f>
        <v>482615024</v>
      </c>
      <c r="F68" s="10" t="s">
        <v>185</v>
      </c>
    </row>
    <row r="69" customFormat="false" ht="15" hidden="false" customHeight="false" outlineLevel="0" collapsed="false">
      <c r="A69" s="25" t="n">
        <v>57</v>
      </c>
      <c r="B69" s="13" t="n">
        <v>1650000000</v>
      </c>
      <c r="C69" s="11" t="s">
        <v>304</v>
      </c>
      <c r="D69" s="11"/>
      <c r="E69" s="23" t="n">
        <f aca="false">IF(B69="","",MAX(0,B69-$B$6))</f>
        <v>632615024</v>
      </c>
      <c r="F69" s="10" t="s">
        <v>185</v>
      </c>
    </row>
    <row r="70" customFormat="false" ht="15" hidden="false" customHeight="false" outlineLevel="0" collapsed="false">
      <c r="A70" s="25" t="n">
        <v>58</v>
      </c>
      <c r="B70" s="13" t="n">
        <v>1875000000</v>
      </c>
      <c r="C70" s="11" t="s">
        <v>305</v>
      </c>
      <c r="D70" s="11"/>
      <c r="E70" s="23" t="n">
        <f aca="false">IF(B70="","",MAX(0,B70-$B$6))</f>
        <v>857615024</v>
      </c>
      <c r="F70" s="10" t="s">
        <v>185</v>
      </c>
    </row>
    <row r="71" customFormat="false" ht="15" hidden="false" customHeight="false" outlineLevel="0" collapsed="false">
      <c r="A71" s="25" t="n">
        <v>59</v>
      </c>
      <c r="B71" s="13" t="n">
        <v>2250000000</v>
      </c>
      <c r="C71" s="11" t="s">
        <v>306</v>
      </c>
      <c r="D71" s="11"/>
      <c r="E71" s="23" t="n">
        <f aca="false">IF(B71="","",MAX(0,B71-$B$6))</f>
        <v>1232615024</v>
      </c>
      <c r="F71" s="10" t="s">
        <v>185</v>
      </c>
    </row>
    <row r="72" customFormat="false" ht="15" hidden="false" customHeight="false" outlineLevel="0" collapsed="false">
      <c r="A72" s="25" t="n">
        <v>60</v>
      </c>
      <c r="B72" s="13" t="n">
        <v>2625000000</v>
      </c>
      <c r="C72" s="11" t="s">
        <v>307</v>
      </c>
      <c r="D72" s="11"/>
      <c r="E72" s="23" t="n">
        <f aca="false">IF(B72="","",MAX(0,B72-$B$6))</f>
        <v>1607615024</v>
      </c>
      <c r="F72" s="10" t="s">
        <v>185</v>
      </c>
    </row>
    <row r="73" customFormat="false" ht="15" hidden="false" customHeight="false" outlineLevel="0" collapsed="false">
      <c r="A73" s="25" t="n">
        <v>61</v>
      </c>
      <c r="B73" s="13" t="n">
        <v>3000000000</v>
      </c>
      <c r="C73" s="11" t="s">
        <v>308</v>
      </c>
      <c r="D73" s="11"/>
      <c r="E73" s="23" t="n">
        <f aca="false">IF(B73="","",MAX(0,B73-$B$6))</f>
        <v>1982615024</v>
      </c>
      <c r="F73" s="10" t="s">
        <v>185</v>
      </c>
    </row>
    <row r="74" customFormat="false" ht="15" hidden="false" customHeight="false" outlineLevel="0" collapsed="false">
      <c r="A74" s="25" t="n">
        <v>62</v>
      </c>
      <c r="B74" s="13" t="n">
        <v>3375000000</v>
      </c>
      <c r="C74" s="11" t="s">
        <v>309</v>
      </c>
      <c r="D74" s="11"/>
      <c r="E74" s="23" t="n">
        <f aca="false">IF(B74="","",MAX(0,B74-$B$6))</f>
        <v>2357615024</v>
      </c>
      <c r="F74" s="10" t="s">
        <v>185</v>
      </c>
    </row>
    <row r="75" customFormat="false" ht="15" hidden="false" customHeight="false" outlineLevel="0" collapsed="false">
      <c r="A75" s="25" t="n">
        <v>63</v>
      </c>
      <c r="B75" s="13" t="n">
        <v>3750000000</v>
      </c>
      <c r="C75" s="11" t="s">
        <v>310</v>
      </c>
      <c r="D75" s="11"/>
      <c r="E75" s="23" t="n">
        <f aca="false">IF(B75="","",MAX(0,B75-$B$6))</f>
        <v>2732615024</v>
      </c>
      <c r="F75" s="10" t="s">
        <v>185</v>
      </c>
    </row>
    <row r="76" customFormat="false" ht="15" hidden="false" customHeight="false" outlineLevel="0" collapsed="false">
      <c r="A76" s="25" t="n">
        <v>64</v>
      </c>
      <c r="B76" s="13" t="n">
        <v>4125000000</v>
      </c>
      <c r="C76" s="11" t="s">
        <v>311</v>
      </c>
      <c r="D76" s="11"/>
      <c r="E76" s="23" t="n">
        <f aca="false">IF(B76="","",MAX(0,B76-$B$6))</f>
        <v>3107615024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118634975</v>
      </c>
      <c r="F7" s="21" t="n">
        <f aca="false">IF(ISNUMBER(D7),MAX(0,D7-E7),0)</f>
        <v>881365025</v>
      </c>
      <c r="G7" s="21" t="n">
        <f aca="false">IF(ISNUMBER(D7),ROUNDUP(D7/C7,0),"No limit")</f>
        <v>1000000000</v>
      </c>
      <c r="H7" s="21" t="n">
        <f aca="false">IFERROR(INT(E7/C7),0)</f>
        <v>118634975</v>
      </c>
      <c r="I7" s="21" t="n">
        <f aca="false">IFERROR(ROUNDUP(F7/C7,0),0)</f>
        <v>881365025</v>
      </c>
      <c r="J7" s="10" t="s">
        <v>330</v>
      </c>
    </row>
    <row r="8" customFormat="false" ht="15" hidden="false" customHeight="false" outlineLevel="0" collapsed="false">
      <c r="A8" s="11" t="s">
        <v>328</v>
      </c>
      <c r="B8" s="11" t="s">
        <v>331</v>
      </c>
      <c r="C8" s="13" t="n">
        <v>4000</v>
      </c>
      <c r="D8" s="13" t="n">
        <v>1000000000</v>
      </c>
      <c r="E8" s="24" t="n">
        <v>40600000</v>
      </c>
      <c r="F8" s="21" t="n">
        <f aca="false">IF(ISNUMBER(D8),MAX(0,D8-E8),0)</f>
        <v>959400000</v>
      </c>
      <c r="G8" s="21" t="n">
        <f aca="false">IF(ISNUMBER(D8),ROUNDUP(D8/C8,0),"No limit")</f>
        <v>250000</v>
      </c>
      <c r="H8" s="21" t="n">
        <f aca="false">IFERROR(INT(E8/C8),0)</f>
        <v>10150</v>
      </c>
      <c r="I8" s="21" t="n">
        <f aca="false">IFERROR(ROUNDUP(F8/C8,0),0)</f>
        <v>239850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40000000</v>
      </c>
      <c r="F24" s="21" t="n">
        <f aca="false">IF(ISNUMBER(D24),MAX(0,D24-E24),0)</f>
        <v>0</v>
      </c>
      <c r="G24" s="21" t="n">
        <f aca="false">IF(ISNUMBER(D24),ROUNDUP(D24/C24,0),"No limit")</f>
        <v>5</v>
      </c>
      <c r="H24" s="21" t="n">
        <f aca="false">IFERROR(INT(E24/C24),0)</f>
        <v>5</v>
      </c>
      <c r="I24" s="21" t="n">
        <f aca="false">IFERROR(ROUNDUP(F24/C24,0),0)</f>
        <v>0</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40000000</v>
      </c>
      <c r="F29" s="21" t="n">
        <f aca="false">IF(ISNUMBER(D29),MAX(0,D29-E29),0)</f>
        <v>0</v>
      </c>
      <c r="G29" s="21" t="n">
        <f aca="false">IF(ISNUMBER(D29),ROUNDUP(D29/C29,0),"No limit")</f>
        <v>5</v>
      </c>
      <c r="H29" s="21" t="n">
        <f aca="false">IFERROR(INT(E29/C29),0)</f>
        <v>5</v>
      </c>
      <c r="I29" s="21" t="n">
        <f aca="false">IFERROR(ROUNDUP(F29/C29,0),0)</f>
        <v>0</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942734975</v>
      </c>
      <c r="F49" s="19"/>
    </row>
    <row r="50" customFormat="false" ht="15" hidden="false" customHeight="false" outlineLevel="0" collapsed="false">
      <c r="B50" s="15" t="s">
        <v>378</v>
      </c>
      <c r="E50" s="19"/>
      <c r="F50" s="19" t="n">
        <f aca="false">SUM(F5:F47)</f>
        <v>6998265025</v>
      </c>
    </row>
    <row r="51" customFormat="false" ht="15" hidden="false" customHeight="false" outlineLevel="0" collapsed="false">
      <c r="B51" s="15" t="s">
        <v>379</v>
      </c>
      <c r="E51" s="19"/>
      <c r="F51" s="19" t="n">
        <f aca="false">SUMIF(J5:J47,"Yes",F5:F47)</f>
        <v>5157500000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2026-10-17T11:13:24Z</dcterms:created>
  <dc:creator>openpyxl</dc:creator>
  <dc:description/>
  <dc:language>en-US</dc:language>
  <cp:lastModifiedBy/>
  <dcterms:modified xsi:type="dcterms:W3CDTF">2026-10-17T11:13:25Z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