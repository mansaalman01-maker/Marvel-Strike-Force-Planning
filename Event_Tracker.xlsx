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<sst xmlns="http://schemas.openxmlformats.org/spreadsheetml/2006/main" count="1241" uniqueCount="642">
  <si>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</si>
  <si>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</si>
  <si>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</si>
  <si>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</si>
  <si>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</si>
  <si>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</si>
  <si>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</si>
  <si>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</si>
  <si>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</si>
  <si>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</si>
  <si>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</si>
  <si>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</si>
  <si>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</si>
  <si>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</si>
  <si>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</si>
  <si>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</si>
  <si>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</si>
  <si>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</si>
  <si>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</si>
  <si>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</si>
  <si>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</si>
  <si>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</si>
  <si>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</si>
  <si>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</si>
  <si>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</si>
  <si>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</si>
  <si>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</si>
  <si>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</si>
  <si>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</si>
  <si>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</si>
  <si>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</si>
  <si>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</si>
  <si>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</si>
  <si>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</si>
  <si>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</si>
  <si>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</si>
  <si>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</si>
  <si>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</si>
  <si>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</si>
  <si>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</si>
  <si>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</si>
  <si>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</si>
  <si>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</si>
  <si>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</si>
  <si>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</si>
  <si>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</si>
  <si>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</si>
  <si>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</si>
  <si>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Main team; Diamond 4 at milestone 47</t>
  </si>
  <si>
    <t xml:space="preserve">T3 L5 done Oct 12, T4 matrix unlocked. 3 diamonds</t>
  </si>
  <si>
    <t xml:space="preserve">Blade (Mighty)</t>
  </si>
  <si>
    <t xml:space="preserve">T3 L4</t>
  </si>
  <si>
    <t xml:space="preserve">Main team; strongest tower character</t>
  </si>
  <si>
    <t xml:space="preserve">Iso-8 to T3 L5</t>
  </si>
  <si>
    <t xml:space="preserve">Purple ions</t>
  </si>
  <si>
    <t xml:space="preserve">Only if Iso Fest ions come through</t>
  </si>
  <si>
    <t xml:space="preserve">Spider-Woman (Julia)</t>
  </si>
  <si>
    <t xml:space="preserve">Main team</t>
  </si>
  <si>
    <t xml:space="preserve">5 red stars, 104 of 200 shards. Needs ion 1 from Founding Force</t>
  </si>
  <si>
    <t xml:space="preserve">Rachel Cole-Alves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</si>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</sst>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6" t="n">
        <v>105</v>
      </c>
      <c r="E11" s="6" t="n">
        <v>20</v>
      </c>
      <c r="F11" s="6" t="s">
        <v>42</v>
      </c>
      <c r="G11" s="7" t="s">
        <v>48</v>
      </c>
      <c r="H11" s="7" t="s">
        <v>44</v>
      </c>
      <c r="I11" s="8" t="n">
        <v>150000000</v>
      </c>
      <c r="J11" s="7" t="s">
        <v>45</v>
      </c>
      <c r="K11" s="4" t="s">
        <v>20</v>
      </c>
      <c r="L11" s="9" t="s">
        <v>49</v>
      </c>
    </row>
    <row r="12" customFormat="false" ht="26.85" hidden="false" customHeight="false" outlineLevel="0" collapsed="false">
      <c r="A12" s="4" t="n">
        <v>8</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9</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10</v>
      </c>
      <c r="B14" s="5" t="s">
        <v>59</v>
      </c>
      <c r="C14" s="5" t="s">
        <v>41</v>
      </c>
      <c r="D14" s="4"/>
      <c r="E14" s="4"/>
      <c r="F14" s="6" t="s">
        <v>51</v>
      </c>
      <c r="G14" s="7" t="s">
        <v>57</v>
      </c>
      <c r="H14" s="7" t="s">
        <v>53</v>
      </c>
      <c r="I14" s="8" t="n">
        <v>17000000</v>
      </c>
      <c r="J14" s="7" t="s">
        <v>54</v>
      </c>
      <c r="K14" s="4" t="s">
        <v>25</v>
      </c>
      <c r="L14" s="9" t="s">
        <v>60</v>
      </c>
    </row>
    <row r="15" customFormat="false" ht="26.85" hidden="false" customHeight="false" outlineLevel="0" collapsed="false">
      <c r="A15" s="4" t="n">
        <v>11</v>
      </c>
      <c r="B15" s="5" t="s">
        <v>61</v>
      </c>
      <c r="C15" s="5" t="s">
        <v>62</v>
      </c>
      <c r="D15" s="6" t="n">
        <v>105</v>
      </c>
      <c r="E15" s="6" t="n">
        <v>20</v>
      </c>
      <c r="F15" s="6" t="s">
        <v>42</v>
      </c>
      <c r="G15" s="7" t="s">
        <v>63</v>
      </c>
      <c r="H15" s="7" t="s">
        <v>64</v>
      </c>
      <c r="I15" s="8" t="n">
        <v>0</v>
      </c>
      <c r="J15" s="7"/>
      <c r="K15" s="4" t="s">
        <v>20</v>
      </c>
      <c r="L15" s="9" t="s">
        <v>65</v>
      </c>
    </row>
    <row r="16" customFormat="false" ht="15" hidden="false" customHeight="false" outlineLevel="0" collapsed="false">
      <c r="A16" s="4" t="n">
        <v>12</v>
      </c>
      <c r="B16" s="5" t="s">
        <v>66</v>
      </c>
      <c r="C16" s="5" t="s">
        <v>67</v>
      </c>
      <c r="D16" s="6" t="n">
        <v>100</v>
      </c>
      <c r="E16" s="4"/>
      <c r="F16" s="4"/>
      <c r="G16" s="7" t="s">
        <v>68</v>
      </c>
      <c r="H16" s="7" t="s">
        <v>69</v>
      </c>
      <c r="I16" s="8" t="n">
        <v>3000000</v>
      </c>
      <c r="J16" s="7" t="s">
        <v>34</v>
      </c>
      <c r="K16" s="4" t="s">
        <v>25</v>
      </c>
      <c r="L16" s="9" t="s">
        <v>70</v>
      </c>
    </row>
    <row r="17" customFormat="false" ht="26.85" hidden="false" customHeight="false" outlineLevel="0" collapsed="false">
      <c r="A17" s="4" t="n">
        <v>13</v>
      </c>
      <c r="B17" s="5" t="s">
        <v>71</v>
      </c>
      <c r="C17" s="5" t="s">
        <v>67</v>
      </c>
      <c r="D17" s="6" t="n">
        <v>80</v>
      </c>
      <c r="E17" s="4"/>
      <c r="F17" s="6" t="s">
        <v>51</v>
      </c>
      <c r="G17" s="7"/>
      <c r="H17" s="7" t="s">
        <v>72</v>
      </c>
      <c r="I17" s="8" t="n">
        <v>0</v>
      </c>
      <c r="J17" s="7"/>
      <c r="K17" s="4" t="s">
        <v>25</v>
      </c>
      <c r="L17" s="9" t="s">
        <v>73</v>
      </c>
    </row>
    <row r="18" customFormat="false" ht="15" hidden="false" customHeight="false" outlineLevel="0" collapsed="false">
      <c r="A18" s="4" t="n">
        <v>13</v>
      </c>
      <c r="B18" s="5" t="s">
        <v>74</v>
      </c>
      <c r="C18" s="5" t="s">
        <v>67</v>
      </c>
      <c r="D18" s="6" t="n">
        <v>60</v>
      </c>
      <c r="E18" s="4"/>
      <c r="F18" s="4"/>
      <c r="G18" s="7"/>
      <c r="H18" s="7" t="s">
        <v>72</v>
      </c>
      <c r="I18" s="8" t="n">
        <v>0</v>
      </c>
      <c r="J18" s="7"/>
      <c r="K18" s="4" t="s">
        <v>25</v>
      </c>
      <c r="L18" s="9"/>
    </row>
    <row r="19" customFormat="false" ht="15" hidden="false" customHeight="false" outlineLevel="0" collapsed="false">
      <c r="A19" s="4" t="n">
        <v>13</v>
      </c>
      <c r="B19" s="5" t="s">
        <v>75</v>
      </c>
      <c r="C19" s="5" t="s">
        <v>67</v>
      </c>
      <c r="D19" s="6" t="n">
        <v>105</v>
      </c>
      <c r="E19" s="4"/>
      <c r="F19" s="6" t="s">
        <v>51</v>
      </c>
      <c r="G19" s="7"/>
      <c r="H19" s="7" t="s">
        <v>72</v>
      </c>
      <c r="I19" s="8" t="n">
        <v>0</v>
      </c>
      <c r="J19" s="7"/>
      <c r="K19" s="4" t="s">
        <v>25</v>
      </c>
      <c r="L19" s="9"/>
    </row>
    <row r="20" customFormat="false" ht="15" hidden="false" customHeight="false" outlineLevel="0" collapsed="false">
      <c r="A20" s="4" t="n">
        <v>13</v>
      </c>
      <c r="B20" s="5" t="s">
        <v>76</v>
      </c>
      <c r="C20" s="5" t="s">
        <v>67</v>
      </c>
      <c r="D20" s="6" t="n">
        <v>105</v>
      </c>
      <c r="E20" s="4"/>
      <c r="F20" s="6" t="s">
        <v>51</v>
      </c>
      <c r="G20" s="7"/>
      <c r="H20" s="7" t="s">
        <v>72</v>
      </c>
      <c r="I20" s="8" t="n">
        <v>0</v>
      </c>
      <c r="J20" s="7"/>
      <c r="K20" s="4" t="s">
        <v>25</v>
      </c>
      <c r="L20" s="9" t="s">
        <v>77</v>
      </c>
    </row>
    <row r="21" customFormat="false" ht="15" hidden="false" customHeight="false" outlineLevel="0" collapsed="false">
      <c r="A21" s="10"/>
      <c r="B21" s="11"/>
      <c r="C21" s="11"/>
      <c r="D21" s="11"/>
      <c r="E21" s="11"/>
      <c r="F21" s="11"/>
      <c r="G21" s="11"/>
      <c r="H21" s="11"/>
      <c r="I21" s="11"/>
      <c r="J21" s="11"/>
      <c r="K21" s="10"/>
      <c r="L21" s="11"/>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8" customFormat="false" ht="15" hidden="false" customHeight="false" outlineLevel="0" collapsed="false">
      <c r="A28" s="2" t="s">
        <v>78</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79</v>
      </c>
    </row>
    <row r="2" customFormat="false" ht="15" hidden="false" customHeight="false" outlineLevel="0" collapsed="false">
      <c r="A2" s="2" t="s">
        <v>80</v>
      </c>
    </row>
    <row r="4" customFormat="false" ht="26.85" hidden="false" customHeight="false" outlineLevel="0" collapsed="false">
      <c r="A4" s="3" t="s">
        <v>3</v>
      </c>
      <c r="B4" s="3" t="s">
        <v>5</v>
      </c>
      <c r="C4" s="3" t="s">
        <v>81</v>
      </c>
      <c r="D4" s="3" t="s">
        <v>82</v>
      </c>
      <c r="E4" s="3" t="s">
        <v>83</v>
      </c>
      <c r="F4" s="3" t="s">
        <v>84</v>
      </c>
      <c r="G4" s="3" t="s">
        <v>85</v>
      </c>
      <c r="H4" s="3" t="s">
        <v>86</v>
      </c>
      <c r="I4" s="3" t="s">
        <v>13</v>
      </c>
    </row>
    <row r="5" customFormat="false" ht="15" hidden="false" customHeight="false" outlineLevel="0" collapsed="false">
      <c r="A5" s="12" t="s">
        <v>50</v>
      </c>
      <c r="B5" s="11" t="n">
        <v>105</v>
      </c>
      <c r="C5" s="13" t="n">
        <v>1739574</v>
      </c>
      <c r="D5" s="11" t="s">
        <v>87</v>
      </c>
      <c r="E5" s="11" t="s">
        <v>88</v>
      </c>
      <c r="F5" s="12" t="s">
        <v>41</v>
      </c>
      <c r="G5" s="10"/>
      <c r="H5" s="10"/>
      <c r="I5" s="14"/>
    </row>
    <row r="6" customFormat="false" ht="15" hidden="false" customHeight="false" outlineLevel="0" collapsed="false">
      <c r="A6" s="12" t="s">
        <v>89</v>
      </c>
      <c r="B6" s="11" t="n">
        <v>105</v>
      </c>
      <c r="C6" s="13" t="n">
        <v>1702227</v>
      </c>
      <c r="D6" s="11" t="s">
        <v>90</v>
      </c>
      <c r="E6" s="11" t="s">
        <v>91</v>
      </c>
      <c r="F6" s="12"/>
      <c r="G6" s="10"/>
      <c r="H6" s="10"/>
      <c r="I6" s="14"/>
    </row>
    <row r="7" customFormat="false" ht="15" hidden="false" customHeight="false" outlineLevel="0" collapsed="false">
      <c r="A7" s="12" t="s">
        <v>92</v>
      </c>
      <c r="B7" s="11" t="n">
        <v>105</v>
      </c>
      <c r="C7" s="13" t="n">
        <v>1663516</v>
      </c>
      <c r="D7" s="11" t="s">
        <v>93</v>
      </c>
      <c r="E7" s="11" t="s">
        <v>94</v>
      </c>
      <c r="F7" s="12"/>
      <c r="G7" s="10"/>
      <c r="H7" s="10"/>
      <c r="I7" s="14"/>
    </row>
    <row r="8" customFormat="false" ht="15" hidden="false" customHeight="false" outlineLevel="0" collapsed="false">
      <c r="A8" s="12" t="s">
        <v>95</v>
      </c>
      <c r="B8" s="11" t="n">
        <v>105</v>
      </c>
      <c r="C8" s="13" t="n">
        <v>1649971</v>
      </c>
      <c r="D8" s="11" t="s">
        <v>96</v>
      </c>
      <c r="E8" s="11" t="s">
        <v>97</v>
      </c>
      <c r="F8" s="12" t="s">
        <v>98</v>
      </c>
      <c r="G8" s="10"/>
      <c r="H8" s="10"/>
      <c r="I8" s="14" t="s">
        <v>99</v>
      </c>
    </row>
    <row r="9" customFormat="false" ht="15" hidden="false" customHeight="false" outlineLevel="0" collapsed="false">
      <c r="A9" s="12" t="s">
        <v>100</v>
      </c>
      <c r="B9" s="11" t="n">
        <v>105</v>
      </c>
      <c r="C9" s="13" t="n">
        <v>1461088</v>
      </c>
      <c r="D9" s="11" t="s">
        <v>90</v>
      </c>
      <c r="E9" s="11" t="s">
        <v>101</v>
      </c>
      <c r="F9" s="12"/>
      <c r="G9" s="10"/>
      <c r="H9" s="10"/>
      <c r="I9" s="14"/>
    </row>
    <row r="10" customFormat="false" ht="15" hidden="false" customHeight="false" outlineLevel="0" collapsed="false">
      <c r="A10" s="12" t="s">
        <v>102</v>
      </c>
      <c r="B10" s="11" t="n">
        <v>100</v>
      </c>
      <c r="C10" s="13" t="n">
        <v>1401716</v>
      </c>
      <c r="D10" s="11" t="s">
        <v>96</v>
      </c>
      <c r="E10" s="11" t="s">
        <v>103</v>
      </c>
      <c r="F10" s="12"/>
      <c r="G10" s="10"/>
      <c r="H10" s="10"/>
      <c r="I10" s="14"/>
    </row>
    <row r="11" customFormat="false" ht="15" hidden="false" customHeight="false" outlineLevel="0" collapsed="false">
      <c r="A11" s="12" t="s">
        <v>104</v>
      </c>
      <c r="B11" s="11" t="n">
        <v>100</v>
      </c>
      <c r="C11" s="13" t="n">
        <v>1341960</v>
      </c>
      <c r="D11" s="11" t="s">
        <v>96</v>
      </c>
      <c r="E11" s="11" t="s">
        <v>94</v>
      </c>
      <c r="F11" s="12"/>
      <c r="G11" s="10"/>
      <c r="H11" s="10"/>
      <c r="I11" s="14"/>
    </row>
    <row r="12" customFormat="false" ht="15" hidden="false" customHeight="false" outlineLevel="0" collapsed="false">
      <c r="A12" s="12" t="s">
        <v>105</v>
      </c>
      <c r="B12" s="11" t="n">
        <v>105</v>
      </c>
      <c r="C12" s="13" t="n">
        <v>1322529</v>
      </c>
      <c r="D12" s="11" t="s">
        <v>106</v>
      </c>
      <c r="E12" s="11" t="s">
        <v>94</v>
      </c>
      <c r="F12" s="12"/>
      <c r="G12" s="10"/>
      <c r="H12" s="10"/>
      <c r="I12" s="14"/>
    </row>
    <row r="13" customFormat="false" ht="15" hidden="false" customHeight="false" outlineLevel="0" collapsed="false">
      <c r="A13" s="12" t="s">
        <v>107</v>
      </c>
      <c r="B13" s="11" t="n">
        <v>105</v>
      </c>
      <c r="C13" s="13" t="n">
        <v>1238262</v>
      </c>
      <c r="D13" s="11" t="s">
        <v>87</v>
      </c>
      <c r="E13" s="11" t="s">
        <v>101</v>
      </c>
      <c r="F13" s="12"/>
      <c r="G13" s="10"/>
      <c r="H13" s="10"/>
      <c r="I13" s="14"/>
    </row>
    <row r="14" customFormat="false" ht="15" hidden="false" customHeight="false" outlineLevel="0" collapsed="false">
      <c r="A14" s="12" t="s">
        <v>108</v>
      </c>
      <c r="B14" s="11" t="n">
        <v>105</v>
      </c>
      <c r="C14" s="13" t="n">
        <v>1095153</v>
      </c>
      <c r="D14" s="11" t="s">
        <v>109</v>
      </c>
      <c r="E14" s="11" t="s">
        <v>110</v>
      </c>
      <c r="F14" s="12"/>
      <c r="G14" s="10"/>
      <c r="H14" s="10"/>
      <c r="I14" s="14"/>
    </row>
    <row r="15" customFormat="false" ht="15" hidden="false" customHeight="false" outlineLevel="0" collapsed="false">
      <c r="A15" s="12" t="s">
        <v>111</v>
      </c>
      <c r="B15" s="11" t="n">
        <v>103</v>
      </c>
      <c r="C15" s="13" t="n">
        <v>1062491</v>
      </c>
      <c r="D15" s="11" t="s">
        <v>90</v>
      </c>
      <c r="E15" s="11" t="s">
        <v>94</v>
      </c>
      <c r="F15" s="12"/>
      <c r="G15" s="10"/>
      <c r="H15" s="10"/>
      <c r="I15" s="14"/>
    </row>
    <row r="16" customFormat="false" ht="15" hidden="false" customHeight="false" outlineLevel="0" collapsed="false">
      <c r="A16" s="12" t="s">
        <v>112</v>
      </c>
      <c r="B16" s="11" t="n">
        <v>105</v>
      </c>
      <c r="C16" s="13" t="n">
        <v>1039168</v>
      </c>
      <c r="D16" s="11" t="s">
        <v>113</v>
      </c>
      <c r="E16" s="11" t="s">
        <v>114</v>
      </c>
      <c r="F16" s="12"/>
      <c r="G16" s="10"/>
      <c r="H16" s="10"/>
      <c r="I16" s="14"/>
    </row>
    <row r="17" customFormat="false" ht="15" hidden="false" customHeight="false" outlineLevel="0" collapsed="false">
      <c r="A17" s="12" t="s">
        <v>115</v>
      </c>
      <c r="B17" s="11" t="n">
        <v>104</v>
      </c>
      <c r="C17" s="13" t="n">
        <v>993737</v>
      </c>
      <c r="D17" s="11" t="s">
        <v>93</v>
      </c>
      <c r="E17" s="11" t="s">
        <v>110</v>
      </c>
      <c r="F17" s="12"/>
      <c r="G17" s="10"/>
      <c r="H17" s="10"/>
      <c r="I17" s="14"/>
    </row>
    <row r="18" customFormat="false" ht="15" hidden="false" customHeight="false" outlineLevel="0" collapsed="false">
      <c r="A18" s="12" t="s">
        <v>116</v>
      </c>
      <c r="B18" s="11" t="n">
        <v>100</v>
      </c>
      <c r="C18" s="13" t="n">
        <v>946060</v>
      </c>
      <c r="D18" s="11" t="s">
        <v>96</v>
      </c>
      <c r="E18" s="11" t="s">
        <v>101</v>
      </c>
      <c r="F18" s="12"/>
      <c r="G18" s="10"/>
      <c r="H18" s="10"/>
      <c r="I18" s="14"/>
    </row>
    <row r="19" customFormat="false" ht="15" hidden="false" customHeight="false" outlineLevel="0" collapsed="false">
      <c r="A19" s="12" t="s">
        <v>117</v>
      </c>
      <c r="B19" s="11" t="n">
        <v>105</v>
      </c>
      <c r="C19" s="13" t="n">
        <v>900021</v>
      </c>
      <c r="D19" s="11" t="s">
        <v>118</v>
      </c>
      <c r="E19" s="11" t="s">
        <v>110</v>
      </c>
      <c r="F19" s="12"/>
      <c r="G19" s="10"/>
      <c r="H19" s="10"/>
      <c r="I19" s="14"/>
    </row>
    <row r="20" customFormat="false" ht="15" hidden="false" customHeight="false" outlineLevel="0" collapsed="false">
      <c r="A20" s="12" t="s">
        <v>119</v>
      </c>
      <c r="B20" s="11" t="n">
        <v>100</v>
      </c>
      <c r="C20" s="13" t="n">
        <v>889970</v>
      </c>
      <c r="D20" s="11" t="s">
        <v>96</v>
      </c>
      <c r="E20" s="11" t="s">
        <v>110</v>
      </c>
      <c r="F20" s="12"/>
      <c r="G20" s="10"/>
      <c r="H20" s="10"/>
      <c r="I20" s="14"/>
    </row>
    <row r="21" customFormat="false" ht="15" hidden="false" customHeight="false" outlineLevel="0" collapsed="false">
      <c r="A21" s="12" t="s">
        <v>120</v>
      </c>
      <c r="B21" s="11" t="n">
        <v>100</v>
      </c>
      <c r="C21" s="13" t="n">
        <v>867448</v>
      </c>
      <c r="D21" s="11" t="s">
        <v>87</v>
      </c>
      <c r="E21" s="11" t="s">
        <v>101</v>
      </c>
      <c r="F21" s="12"/>
      <c r="G21" s="10"/>
      <c r="H21" s="10"/>
      <c r="I21" s="14"/>
    </row>
    <row r="22" customFormat="false" ht="15" hidden="false" customHeight="false" outlineLevel="0" collapsed="false">
      <c r="A22" s="12" t="s">
        <v>121</v>
      </c>
      <c r="B22" s="11" t="n">
        <v>100</v>
      </c>
      <c r="C22" s="13" t="n">
        <v>847430</v>
      </c>
      <c r="D22" s="11" t="s">
        <v>87</v>
      </c>
      <c r="E22" s="11" t="s">
        <v>101</v>
      </c>
      <c r="F22" s="12"/>
      <c r="G22" s="10"/>
      <c r="H22" s="10"/>
      <c r="I22" s="14"/>
    </row>
    <row r="23" customFormat="false" ht="15" hidden="false" customHeight="false" outlineLevel="0" collapsed="false">
      <c r="A23" s="12" t="s">
        <v>27</v>
      </c>
      <c r="B23" s="11" t="n">
        <v>100</v>
      </c>
      <c r="C23" s="13" t="n">
        <v>827833</v>
      </c>
      <c r="D23" s="11" t="s">
        <v>93</v>
      </c>
      <c r="E23" s="11" t="s">
        <v>110</v>
      </c>
      <c r="F23" s="12" t="s">
        <v>15</v>
      </c>
      <c r="G23" s="10"/>
      <c r="H23" s="10"/>
      <c r="I23" s="14" t="s">
        <v>122</v>
      </c>
    </row>
    <row r="24" customFormat="false" ht="15" hidden="false" customHeight="false" outlineLevel="0" collapsed="false">
      <c r="A24" s="12" t="s">
        <v>123</v>
      </c>
      <c r="B24" s="11" t="n">
        <v>101</v>
      </c>
      <c r="C24" s="13" t="n">
        <v>818549</v>
      </c>
      <c r="D24" s="11" t="s">
        <v>96</v>
      </c>
      <c r="E24" s="11" t="s">
        <v>94</v>
      </c>
      <c r="F24" s="12"/>
      <c r="G24" s="10"/>
      <c r="H24" s="10"/>
      <c r="I24" s="14"/>
    </row>
    <row r="25" customFormat="false" ht="15" hidden="false" customHeight="false" outlineLevel="0" collapsed="false">
      <c r="A25" s="12" t="s">
        <v>124</v>
      </c>
      <c r="B25" s="11" t="n">
        <v>103</v>
      </c>
      <c r="C25" s="13" t="n">
        <v>787184</v>
      </c>
      <c r="D25" s="11" t="s">
        <v>96</v>
      </c>
      <c r="E25" s="11" t="s">
        <v>94</v>
      </c>
      <c r="F25" s="12"/>
      <c r="G25" s="10"/>
      <c r="H25" s="10"/>
      <c r="I25" s="14"/>
    </row>
    <row r="26" customFormat="false" ht="15" hidden="false" customHeight="false" outlineLevel="0" collapsed="false">
      <c r="A26" s="12" t="s">
        <v>125</v>
      </c>
      <c r="B26" s="11" t="n">
        <v>96</v>
      </c>
      <c r="C26" s="13" t="n">
        <v>736328</v>
      </c>
      <c r="D26" s="11" t="s">
        <v>90</v>
      </c>
      <c r="E26" s="11" t="s">
        <v>101</v>
      </c>
      <c r="F26" s="12"/>
      <c r="G26" s="10"/>
      <c r="H26" s="10"/>
      <c r="I26" s="14"/>
    </row>
    <row r="27" customFormat="false" ht="15" hidden="false" customHeight="false" outlineLevel="0" collapsed="false">
      <c r="A27" s="12" t="s">
        <v>32</v>
      </c>
      <c r="B27" s="11" t="n">
        <v>95</v>
      </c>
      <c r="C27" s="13" t="n">
        <v>731016</v>
      </c>
      <c r="D27" s="11" t="s">
        <v>96</v>
      </c>
      <c r="E27" s="11" t="s">
        <v>110</v>
      </c>
      <c r="F27" s="12" t="s">
        <v>15</v>
      </c>
      <c r="G27" s="10"/>
      <c r="H27" s="10"/>
      <c r="I27" s="14" t="s">
        <v>126</v>
      </c>
    </row>
    <row r="28" customFormat="false" ht="15" hidden="false" customHeight="false" outlineLevel="0" collapsed="false">
      <c r="A28" s="12" t="s">
        <v>127</v>
      </c>
      <c r="B28" s="11" t="n">
        <v>95</v>
      </c>
      <c r="C28" s="13" t="n">
        <v>573611</v>
      </c>
      <c r="D28" s="11" t="s">
        <v>128</v>
      </c>
      <c r="E28" s="11" t="s">
        <v>110</v>
      </c>
      <c r="F28" s="12"/>
      <c r="G28" s="10"/>
      <c r="H28" s="10"/>
      <c r="I28" s="14"/>
    </row>
    <row r="29" customFormat="false" ht="15" hidden="false" customHeight="false" outlineLevel="0" collapsed="false">
      <c r="A29" s="12" t="s">
        <v>129</v>
      </c>
      <c r="B29" s="11" t="n">
        <v>100</v>
      </c>
      <c r="C29" s="13" t="n">
        <v>556594</v>
      </c>
      <c r="D29" s="11" t="s">
        <v>130</v>
      </c>
      <c r="E29" s="11" t="s">
        <v>94</v>
      </c>
      <c r="F29" s="12"/>
      <c r="G29" s="10"/>
      <c r="H29" s="10"/>
      <c r="I29" s="14"/>
    </row>
    <row r="30" customFormat="false" ht="15" hidden="false" customHeight="false" outlineLevel="0" collapsed="false">
      <c r="A30" s="12" t="s">
        <v>131</v>
      </c>
      <c r="B30" s="11" t="n">
        <v>95</v>
      </c>
      <c r="C30" s="13" t="n">
        <v>427837</v>
      </c>
      <c r="D30" s="11" t="s">
        <v>87</v>
      </c>
      <c r="E30" s="11" t="s">
        <v>110</v>
      </c>
      <c r="F30" s="12"/>
      <c r="G30" s="10"/>
      <c r="H30" s="10"/>
      <c r="I30" s="14"/>
    </row>
    <row r="31" customFormat="false" ht="15" hidden="false" customHeight="false" outlineLevel="0" collapsed="false">
      <c r="A31" s="12" t="s">
        <v>132</v>
      </c>
      <c r="B31" s="11" t="n">
        <v>90</v>
      </c>
      <c r="C31" s="13" t="n">
        <v>334475</v>
      </c>
      <c r="D31" s="11" t="s">
        <v>90</v>
      </c>
      <c r="E31" s="11" t="s">
        <v>110</v>
      </c>
      <c r="F31" s="12"/>
      <c r="G31" s="10"/>
      <c r="H31" s="10"/>
      <c r="I31" s="14"/>
    </row>
    <row r="32" customFormat="false" ht="15" hidden="false" customHeight="false" outlineLevel="0" collapsed="false">
      <c r="A32" s="12" t="s">
        <v>133</v>
      </c>
      <c r="B32" s="11" t="n">
        <v>95</v>
      </c>
      <c r="C32" s="13" t="n">
        <v>309062</v>
      </c>
      <c r="D32" s="11" t="s">
        <v>134</v>
      </c>
      <c r="E32" s="11" t="s">
        <v>110</v>
      </c>
      <c r="F32" s="12"/>
      <c r="G32" s="10"/>
      <c r="H32" s="10"/>
      <c r="I32" s="14"/>
    </row>
    <row r="33" customFormat="false" ht="15" hidden="false" customHeight="false" outlineLevel="0" collapsed="false">
      <c r="A33" s="12" t="s">
        <v>135</v>
      </c>
      <c r="B33" s="11" t="n">
        <v>90</v>
      </c>
      <c r="C33" s="13" t="n">
        <v>305523</v>
      </c>
      <c r="D33" s="11" t="s">
        <v>87</v>
      </c>
      <c r="E33" s="11" t="s">
        <v>101</v>
      </c>
      <c r="F33" s="12"/>
      <c r="G33" s="10"/>
      <c r="H33" s="10"/>
      <c r="I33" s="14"/>
    </row>
    <row r="34" customFormat="false" ht="15" hidden="false" customHeight="false" outlineLevel="0" collapsed="false">
      <c r="A34" s="12" t="s">
        <v>136</v>
      </c>
      <c r="B34" s="11" t="n">
        <v>95</v>
      </c>
      <c r="C34" s="13" t="n">
        <v>302615</v>
      </c>
      <c r="D34" s="11" t="s">
        <v>134</v>
      </c>
      <c r="E34" s="11" t="s">
        <v>110</v>
      </c>
      <c r="F34" s="12"/>
      <c r="G34" s="10"/>
      <c r="H34" s="10"/>
      <c r="I34" s="14"/>
    </row>
    <row r="35" customFormat="false" ht="15" hidden="false" customHeight="false" outlineLevel="0" collapsed="false">
      <c r="A35" s="12" t="s">
        <v>137</v>
      </c>
      <c r="B35" s="11" t="n">
        <v>90</v>
      </c>
      <c r="C35" s="13" t="n">
        <v>269160</v>
      </c>
      <c r="D35" s="11" t="s">
        <v>87</v>
      </c>
      <c r="E35" s="11" t="s">
        <v>110</v>
      </c>
      <c r="F35" s="12"/>
      <c r="G35" s="10"/>
      <c r="H35" s="10"/>
      <c r="I35" s="14"/>
    </row>
    <row r="36" customFormat="false" ht="15" hidden="false" customHeight="false" outlineLevel="0" collapsed="false">
      <c r="A36" s="12" t="s">
        <v>138</v>
      </c>
      <c r="B36" s="11" t="n">
        <v>80</v>
      </c>
      <c r="C36" s="13" t="n">
        <v>250273</v>
      </c>
      <c r="D36" s="11" t="s">
        <v>130</v>
      </c>
      <c r="E36" s="11" t="s">
        <v>94</v>
      </c>
      <c r="F36" s="12"/>
      <c r="G36" s="10"/>
      <c r="H36" s="10"/>
      <c r="I36" s="14"/>
    </row>
    <row r="37" customFormat="false" ht="15" hidden="false" customHeight="false" outlineLevel="0" collapsed="false">
      <c r="A37" s="12" t="s">
        <v>139</v>
      </c>
      <c r="B37" s="11" t="n">
        <v>90</v>
      </c>
      <c r="C37" s="13" t="n">
        <v>245993</v>
      </c>
      <c r="D37" s="11" t="s">
        <v>130</v>
      </c>
      <c r="E37" s="11" t="s">
        <v>140</v>
      </c>
      <c r="F37" s="12"/>
      <c r="G37" s="10"/>
      <c r="H37" s="10"/>
      <c r="I37" s="14"/>
    </row>
    <row r="38" customFormat="false" ht="15" hidden="false" customHeight="false" outlineLevel="0" collapsed="false">
      <c r="A38" s="12" t="s">
        <v>141</v>
      </c>
      <c r="B38" s="11" t="n">
        <v>75</v>
      </c>
      <c r="C38" s="13" t="n">
        <v>228686</v>
      </c>
      <c r="D38" s="11" t="s">
        <v>134</v>
      </c>
      <c r="E38" s="11" t="s">
        <v>110</v>
      </c>
      <c r="F38" s="12"/>
      <c r="G38" s="10"/>
      <c r="H38" s="10"/>
      <c r="I38" s="14"/>
    </row>
    <row r="39" customFormat="false" ht="15" hidden="false" customHeight="false" outlineLevel="0" collapsed="false">
      <c r="A39" s="12" t="s">
        <v>142</v>
      </c>
      <c r="B39" s="11" t="n">
        <v>75</v>
      </c>
      <c r="C39" s="13" t="n">
        <v>144778</v>
      </c>
      <c r="D39" s="11" t="s">
        <v>134</v>
      </c>
      <c r="E39" s="11" t="s">
        <v>110</v>
      </c>
      <c r="F39" s="12"/>
      <c r="G39" s="10"/>
      <c r="H39" s="10"/>
      <c r="I39" s="14"/>
    </row>
    <row r="40" customFormat="false" ht="15" hidden="false" customHeight="false" outlineLevel="0" collapsed="false">
      <c r="A40" s="12" t="s">
        <v>22</v>
      </c>
      <c r="B40" s="11" t="n">
        <v>85</v>
      </c>
      <c r="C40" s="13" t="n">
        <v>33212</v>
      </c>
      <c r="D40" s="11" t="s">
        <v>118</v>
      </c>
      <c r="E40" s="11" t="s">
        <v>143</v>
      </c>
      <c r="F40" s="12" t="s">
        <v>15</v>
      </c>
      <c r="G40" s="10"/>
      <c r="H40" s="10"/>
      <c r="I40" s="14" t="s">
        <v>144</v>
      </c>
    </row>
    <row r="41" customFormat="false" ht="15" hidden="false" customHeight="false" outlineLevel="0" collapsed="false">
      <c r="A41" s="12" t="s">
        <v>36</v>
      </c>
      <c r="B41" s="11" t="n">
        <v>39</v>
      </c>
      <c r="C41" s="13" t="n">
        <v>32994</v>
      </c>
      <c r="D41" s="11" t="s">
        <v>96</v>
      </c>
      <c r="E41" s="11" t="s">
        <v>145</v>
      </c>
      <c r="F41" s="12" t="s">
        <v>15</v>
      </c>
      <c r="G41" s="10"/>
      <c r="H41" s="10"/>
      <c r="I41" s="14"/>
    </row>
    <row r="42" customFormat="false" ht="15" hidden="false" customHeight="false" outlineLevel="0" collapsed="false">
      <c r="A42" s="12" t="s">
        <v>14</v>
      </c>
      <c r="B42" s="11" t="n">
        <v>85</v>
      </c>
      <c r="C42" s="13" t="n">
        <v>26827</v>
      </c>
      <c r="D42" s="11" t="s">
        <v>146</v>
      </c>
      <c r="E42" s="11" t="s">
        <v>143</v>
      </c>
      <c r="F42" s="12" t="s">
        <v>15</v>
      </c>
      <c r="G42" s="10"/>
      <c r="H42" s="10"/>
      <c r="I42" s="14" t="s">
        <v>144</v>
      </c>
    </row>
    <row r="43" customFormat="false" ht="15" hidden="false" customHeight="false" outlineLevel="0" collapsed="false">
      <c r="A43" s="12" t="s">
        <v>147</v>
      </c>
      <c r="B43" s="11"/>
      <c r="C43" s="13"/>
      <c r="D43" s="11" t="s">
        <v>148</v>
      </c>
      <c r="E43" s="11"/>
      <c r="F43" s="12" t="s">
        <v>98</v>
      </c>
      <c r="G43" s="10"/>
      <c r="H43" s="10"/>
      <c r="I43" s="14" t="s">
        <v>149</v>
      </c>
    </row>
    <row r="44" customFormat="false" ht="15" hidden="false" customHeight="false" outlineLevel="0" collapsed="false">
      <c r="A44" s="12" t="s">
        <v>150</v>
      </c>
      <c r="B44" s="11"/>
      <c r="C44" s="13"/>
      <c r="D44" s="11" t="s">
        <v>151</v>
      </c>
      <c r="E44" s="11"/>
      <c r="F44" s="12"/>
      <c r="G44" s="10"/>
      <c r="H44" s="10"/>
      <c r="I44" s="14"/>
    </row>
    <row r="46" customFormat="false" ht="15" hidden="false" customHeight="false" outlineLevel="0" collapsed="false">
      <c r="A46" s="15" t="s">
        <v>152</v>
      </c>
      <c r="B46" s="16" t="n">
        <f aca="false">COUNT(C5:C44)</f>
        <v>38</v>
      </c>
    </row>
    <row r="47" customFormat="false" ht="15" hidden="false" customHeight="false" outlineLevel="0" collapsed="false">
      <c r="A47" s="15" t="s">
        <v>153</v>
      </c>
      <c r="B47" s="16" t="n">
        <f aca="false">COUNTIF(C5:C44,"&gt;=1000000")</f>
        <v>12</v>
      </c>
    </row>
    <row r="48" customFormat="false" ht="15" hidden="false" customHeight="false" outlineLevel="0" collapsed="false">
      <c r="A48" s="15" t="s">
        <v>154</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155</v>
      </c>
    </row>
    <row r="2" customFormat="false" ht="15" hidden="false" customHeight="false" outlineLevel="0" collapsed="false">
      <c r="A2" s="2" t="s">
        <v>156</v>
      </c>
    </row>
    <row r="4" customFormat="false" ht="15" hidden="false" customHeight="false" outlineLevel="0" collapsed="false">
      <c r="A4" s="15" t="s">
        <v>157</v>
      </c>
      <c r="B4" s="17" t="n">
        <v>46332.7083333333</v>
      </c>
    </row>
    <row r="5" customFormat="false" ht="15" hidden="false" customHeight="false" outlineLevel="0" collapsed="false">
      <c r="A5" s="15" t="s">
        <v>158</v>
      </c>
      <c r="B5" s="18" t="n">
        <v>400</v>
      </c>
    </row>
    <row r="6" customFormat="false" ht="15" hidden="false" customHeight="false" outlineLevel="0" collapsed="false">
      <c r="A6" s="15" t="s">
        <v>159</v>
      </c>
      <c r="B6" s="15" t="n">
        <f aca="false">IFERROR(INDEX(A10:A29,MATCH(TRUE(),INDEX(B10:B29&gt;B5,0),0)),"All done")</f>
        <v>2</v>
      </c>
    </row>
    <row r="7" customFormat="false" ht="15" hidden="false" customHeight="false" outlineLevel="0" collapsed="false">
      <c r="A7" s="15" t="s">
        <v>160</v>
      </c>
      <c r="B7" s="19" t="n">
        <f aca="false">IFERROR(INDEX(B10:B29,MATCH(TRUE(),INDEX(B10:B29&gt;B5,0),0))-B5,0)</f>
        <v>400</v>
      </c>
    </row>
    <row r="9" customFormat="false" ht="15" hidden="false" customHeight="false" outlineLevel="0" collapsed="false">
      <c r="A9" s="20" t="s">
        <v>161</v>
      </c>
      <c r="B9" s="20" t="s">
        <v>162</v>
      </c>
      <c r="C9" s="20" t="s">
        <v>163</v>
      </c>
      <c r="D9" s="20" t="s">
        <v>164</v>
      </c>
      <c r="E9" s="20" t="s">
        <v>165</v>
      </c>
      <c r="F9" s="20" t="s">
        <v>12</v>
      </c>
    </row>
    <row r="10" customFormat="false" ht="15" hidden="false" customHeight="false" outlineLevel="0" collapsed="false">
      <c r="A10" s="12" t="n">
        <v>1</v>
      </c>
      <c r="B10" s="21" t="n">
        <v>400</v>
      </c>
      <c r="C10" s="12" t="s">
        <v>166</v>
      </c>
      <c r="D10" s="12" t="s">
        <v>167</v>
      </c>
      <c r="E10" s="14"/>
      <c r="F10" s="10" t="s">
        <v>168</v>
      </c>
    </row>
    <row r="11" customFormat="false" ht="15" hidden="false" customHeight="false" outlineLevel="0" collapsed="false">
      <c r="A11" s="12" t="n">
        <v>2</v>
      </c>
      <c r="B11" s="21" t="n">
        <v>800</v>
      </c>
      <c r="C11" s="12" t="s">
        <v>169</v>
      </c>
      <c r="D11" s="12" t="s">
        <v>170</v>
      </c>
      <c r="E11" s="14"/>
      <c r="F11" s="10" t="s">
        <v>171</v>
      </c>
    </row>
    <row r="12" customFormat="false" ht="15" hidden="false" customHeight="false" outlineLevel="0" collapsed="false">
      <c r="A12" s="12" t="n">
        <v>3</v>
      </c>
      <c r="B12" s="21" t="n">
        <v>1200</v>
      </c>
      <c r="C12" s="12" t="s">
        <v>172</v>
      </c>
      <c r="D12" s="12" t="s">
        <v>173</v>
      </c>
      <c r="E12" s="14"/>
      <c r="F12" s="10" t="s">
        <v>171</v>
      </c>
    </row>
    <row r="13" customFormat="false" ht="15" hidden="false" customHeight="false" outlineLevel="0" collapsed="false">
      <c r="A13" s="12" t="n">
        <v>4</v>
      </c>
      <c r="B13" s="21" t="n">
        <v>1600</v>
      </c>
      <c r="C13" s="12" t="s">
        <v>174</v>
      </c>
      <c r="D13" s="12" t="s">
        <v>175</v>
      </c>
      <c r="E13" s="14"/>
      <c r="F13" s="10" t="s">
        <v>171</v>
      </c>
    </row>
    <row r="14" customFormat="false" ht="15" hidden="false" customHeight="false" outlineLevel="0" collapsed="false">
      <c r="A14" s="12" t="n">
        <v>5</v>
      </c>
      <c r="B14" s="21" t="n">
        <v>2000</v>
      </c>
      <c r="C14" s="12" t="s">
        <v>176</v>
      </c>
      <c r="D14" s="12" t="s">
        <v>177</v>
      </c>
      <c r="E14" s="14"/>
      <c r="F14" s="10" t="s">
        <v>171</v>
      </c>
    </row>
    <row r="15" customFormat="false" ht="15" hidden="false" customHeight="false" outlineLevel="0" collapsed="false">
      <c r="A15" s="12" t="n">
        <v>6</v>
      </c>
      <c r="B15" s="21" t="n">
        <v>2400</v>
      </c>
      <c r="C15" s="12" t="s">
        <v>178</v>
      </c>
      <c r="D15" s="12" t="s">
        <v>179</v>
      </c>
      <c r="E15" s="14" t="s">
        <v>180</v>
      </c>
      <c r="F15" s="10" t="s">
        <v>171</v>
      </c>
    </row>
    <row r="16" customFormat="false" ht="15" hidden="false" customHeight="false" outlineLevel="0" collapsed="false">
      <c r="A16" s="12" t="n">
        <v>7</v>
      </c>
      <c r="B16" s="21" t="n">
        <v>2800</v>
      </c>
      <c r="C16" s="12" t="s">
        <v>181</v>
      </c>
      <c r="D16" s="12" t="s">
        <v>182</v>
      </c>
      <c r="E16" s="14"/>
      <c r="F16" s="10" t="s">
        <v>171</v>
      </c>
    </row>
    <row r="17" customFormat="false" ht="15" hidden="false" customHeight="false" outlineLevel="0" collapsed="false">
      <c r="A17" s="12" t="n">
        <v>8</v>
      </c>
      <c r="B17" s="21" t="n">
        <v>3200</v>
      </c>
      <c r="C17" s="12" t="s">
        <v>183</v>
      </c>
      <c r="D17" s="12" t="s">
        <v>184</v>
      </c>
      <c r="E17" s="14"/>
      <c r="F17" s="10" t="s">
        <v>171</v>
      </c>
    </row>
    <row r="18" customFormat="false" ht="15" hidden="false" customHeight="false" outlineLevel="0" collapsed="false">
      <c r="A18" s="12" t="n">
        <v>9</v>
      </c>
      <c r="B18" s="21" t="n">
        <v>3600</v>
      </c>
      <c r="C18" s="12" t="s">
        <v>185</v>
      </c>
      <c r="D18" s="12" t="s">
        <v>186</v>
      </c>
      <c r="E18" s="14"/>
      <c r="F18" s="10" t="s">
        <v>171</v>
      </c>
    </row>
    <row r="19" customFormat="false" ht="15" hidden="false" customHeight="false" outlineLevel="0" collapsed="false">
      <c r="A19" s="12" t="n">
        <v>10</v>
      </c>
      <c r="B19" s="21" t="n">
        <v>4000</v>
      </c>
      <c r="C19" s="12" t="s">
        <v>187</v>
      </c>
      <c r="D19" s="12" t="s">
        <v>188</v>
      </c>
      <c r="E19" s="14"/>
      <c r="F19" s="10" t="s">
        <v>171</v>
      </c>
    </row>
    <row r="20" customFormat="false" ht="15" hidden="false" customHeight="false" outlineLevel="0" collapsed="false">
      <c r="A20" s="12" t="n">
        <v>11</v>
      </c>
      <c r="B20" s="21" t="n">
        <v>4400</v>
      </c>
      <c r="C20" s="12" t="s">
        <v>189</v>
      </c>
      <c r="D20" s="12" t="s">
        <v>179</v>
      </c>
      <c r="E20" s="14" t="s">
        <v>180</v>
      </c>
      <c r="F20" s="10" t="s">
        <v>171</v>
      </c>
    </row>
    <row r="21" customFormat="false" ht="15" hidden="false" customHeight="false" outlineLevel="0" collapsed="false">
      <c r="A21" s="12" t="n">
        <v>12</v>
      </c>
      <c r="B21" s="21" t="n">
        <v>4800</v>
      </c>
      <c r="C21" s="12" t="s">
        <v>190</v>
      </c>
      <c r="D21" s="12" t="s">
        <v>191</v>
      </c>
      <c r="E21" s="14" t="s">
        <v>192</v>
      </c>
      <c r="F21" s="10" t="s">
        <v>171</v>
      </c>
    </row>
    <row r="22" customFormat="false" ht="15" hidden="false" customHeight="false" outlineLevel="0" collapsed="false">
      <c r="A22" s="12" t="n">
        <v>13</v>
      </c>
      <c r="B22" s="21" t="n">
        <v>5200</v>
      </c>
      <c r="C22" s="12" t="s">
        <v>193</v>
      </c>
      <c r="D22" s="12" t="s">
        <v>194</v>
      </c>
      <c r="E22" s="14" t="s">
        <v>180</v>
      </c>
      <c r="F22" s="10" t="s">
        <v>171</v>
      </c>
    </row>
    <row r="23" customFormat="false" ht="15" hidden="false" customHeight="false" outlineLevel="0" collapsed="false">
      <c r="A23" s="12" t="n">
        <v>14</v>
      </c>
      <c r="B23" s="21" t="n">
        <v>5600</v>
      </c>
      <c r="C23" s="12" t="s">
        <v>195</v>
      </c>
      <c r="D23" s="12" t="s">
        <v>196</v>
      </c>
      <c r="E23" s="14" t="s">
        <v>192</v>
      </c>
      <c r="F23" s="10" t="s">
        <v>171</v>
      </c>
    </row>
    <row r="24" customFormat="false" ht="15" hidden="false" customHeight="false" outlineLevel="0" collapsed="false">
      <c r="A24" s="12" t="n">
        <v>15</v>
      </c>
      <c r="B24" s="21" t="n">
        <v>6000</v>
      </c>
      <c r="C24" s="12" t="s">
        <v>183</v>
      </c>
      <c r="D24" s="12" t="s">
        <v>197</v>
      </c>
      <c r="E24" s="14"/>
      <c r="F24" s="10" t="s">
        <v>171</v>
      </c>
    </row>
    <row r="25" customFormat="false" ht="15" hidden="false" customHeight="false" outlineLevel="0" collapsed="false">
      <c r="A25" s="12" t="n">
        <v>16</v>
      </c>
      <c r="B25" s="21" t="n">
        <v>6400</v>
      </c>
      <c r="C25" s="12" t="s">
        <v>198</v>
      </c>
      <c r="D25" s="12" t="s">
        <v>199</v>
      </c>
      <c r="E25" s="14" t="s">
        <v>200</v>
      </c>
      <c r="F25" s="10" t="s">
        <v>171</v>
      </c>
    </row>
    <row r="26" customFormat="false" ht="15" hidden="false" customHeight="false" outlineLevel="0" collapsed="false">
      <c r="A26" s="12" t="n">
        <v>17</v>
      </c>
      <c r="B26" s="21" t="n">
        <v>6800</v>
      </c>
      <c r="C26" s="12" t="s">
        <v>201</v>
      </c>
      <c r="D26" s="12" t="s">
        <v>202</v>
      </c>
      <c r="E26" s="14" t="s">
        <v>200</v>
      </c>
      <c r="F26" s="10" t="s">
        <v>171</v>
      </c>
    </row>
    <row r="27" customFormat="false" ht="15" hidden="false" customHeight="false" outlineLevel="0" collapsed="false">
      <c r="A27" s="12" t="n">
        <v>18</v>
      </c>
      <c r="B27" s="21" t="n">
        <v>7200</v>
      </c>
      <c r="C27" s="12"/>
      <c r="D27" s="12" t="s">
        <v>203</v>
      </c>
      <c r="E27" s="14"/>
      <c r="F27" s="10" t="s">
        <v>171</v>
      </c>
    </row>
    <row r="28" customFormat="false" ht="15" hidden="false" customHeight="false" outlineLevel="0" collapsed="false">
      <c r="A28" s="12" t="n">
        <v>19</v>
      </c>
      <c r="B28" s="21" t="n">
        <v>7600</v>
      </c>
      <c r="C28" s="12"/>
      <c r="D28" s="12" t="s">
        <v>204</v>
      </c>
      <c r="E28" s="14" t="s">
        <v>205</v>
      </c>
      <c r="F28" s="10" t="s">
        <v>171</v>
      </c>
    </row>
    <row r="29" customFormat="false" ht="15" hidden="false" customHeight="false" outlineLevel="0" collapsed="false">
      <c r="A29" s="12" t="n">
        <v>20</v>
      </c>
      <c r="B29" s="21" t="n">
        <v>8000</v>
      </c>
      <c r="C29" s="12"/>
      <c r="D29" s="12" t="s">
        <v>206</v>
      </c>
      <c r="E29" s="14"/>
      <c r="F29" s="10" t="s">
        <v>171</v>
      </c>
    </row>
    <row r="31" customFormat="false" ht="15" hidden="false" customHeight="false" outlineLevel="0" collapsed="false">
      <c r="A31" s="22" t="s">
        <v>207</v>
      </c>
    </row>
    <row r="32" customFormat="false" ht="26.85" hidden="false" customHeight="false" outlineLevel="0" collapsed="false">
      <c r="A32" s="3" t="s">
        <v>208</v>
      </c>
      <c r="B32" s="3" t="s">
        <v>209</v>
      </c>
      <c r="C32" s="3" t="s">
        <v>210</v>
      </c>
      <c r="D32" s="3" t="s">
        <v>211</v>
      </c>
      <c r="E32" s="3" t="s">
        <v>212</v>
      </c>
      <c r="F32" s="3" t="s">
        <v>213</v>
      </c>
      <c r="G32" s="3" t="s">
        <v>214</v>
      </c>
      <c r="H32" s="3" t="s">
        <v>215</v>
      </c>
      <c r="I32" s="3" t="s">
        <v>216</v>
      </c>
      <c r="J32" s="3" t="s">
        <v>217</v>
      </c>
      <c r="K32" s="3" t="s">
        <v>218</v>
      </c>
      <c r="L32" s="3" t="s">
        <v>219</v>
      </c>
      <c r="M32" s="3" t="s">
        <v>13</v>
      </c>
    </row>
    <row r="33" customFormat="false" ht="15" hidden="false" customHeight="false" outlineLevel="0" collapsed="false">
      <c r="A33" s="10" t="s">
        <v>220</v>
      </c>
      <c r="B33" s="10"/>
      <c r="C33" s="10"/>
      <c r="D33" s="10" t="s">
        <v>107</v>
      </c>
      <c r="E33" s="10" t="s">
        <v>116</v>
      </c>
      <c r="F33" s="10" t="s">
        <v>119</v>
      </c>
      <c r="G33" s="10" t="s">
        <v>120</v>
      </c>
      <c r="H33" s="10" t="s">
        <v>121</v>
      </c>
      <c r="I33" s="23" t="n">
        <f aca="false">SUMIF('Tower Roster'!$A$5:$A$44,D33,'Tower Roster'!$C$5:$C$44)+SUMIF('Tower Roster'!$A$5:$A$44,E33,'Tower Roster'!$C$5:$C$44)+SUMIF('Tower Roster'!$A$5:$A$44,F33,'Tower Roster'!$C$5:$C$44)+SUMIF('Tower Roster'!$A$5:$A$44,G33,'Tower Roster'!$C$5:$C$44)+SUMIF('Tower Roster'!$A$5:$A$44,H33,'Tower Roster'!$C$5:$C$44)</f>
        <v>4789170</v>
      </c>
      <c r="J33" s="10" t="s">
        <v>221</v>
      </c>
      <c r="K33" s="10" t="n">
        <v>1</v>
      </c>
      <c r="L33" s="24" t="n">
        <v>400</v>
      </c>
      <c r="M33" s="10" t="s">
        <v>222</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223</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224</v>
      </c>
    </row>
    <row r="2" customFormat="false" ht="15" hidden="false" customHeight="false" outlineLevel="0" collapsed="false">
      <c r="A2" s="2" t="s">
        <v>225</v>
      </c>
    </row>
    <row r="4" customFormat="false" ht="15" hidden="false" customHeight="false" outlineLevel="0" collapsed="false">
      <c r="A4" s="15" t="s">
        <v>226</v>
      </c>
      <c r="B4" s="15" t="s">
        <v>227</v>
      </c>
    </row>
    <row r="5" customFormat="false" ht="15" hidden="false" customHeight="false" outlineLevel="0" collapsed="false">
      <c r="A5" s="15" t="s">
        <v>157</v>
      </c>
      <c r="B5" s="17" t="n">
        <v>46313.7083333333</v>
      </c>
    </row>
    <row r="6" customFormat="false" ht="15" hidden="false" customHeight="false" outlineLevel="0" collapsed="false">
      <c r="A6" s="15" t="s">
        <v>228</v>
      </c>
      <c r="B6" s="18" t="n">
        <v>649301650</v>
      </c>
      <c r="D6" s="15" t="s">
        <v>229</v>
      </c>
      <c r="E6" s="19" t="n">
        <f aca="false">B6+Scoring!F51</f>
        <v>6007301650</v>
      </c>
    </row>
    <row r="7" customFormat="false" ht="15" hidden="false" customHeight="false" outlineLevel="0" collapsed="false">
      <c r="A7" s="15" t="s">
        <v>230</v>
      </c>
      <c r="B7" s="15" t="n">
        <f aca="false">SUMPRODUCT((B13:B76&lt;&gt;"")*(B13:B76&lt;=B6))+SUMPRODUCT((B13:B76="")*(F13:F76="Claimed"))</f>
        <v>45</v>
      </c>
      <c r="D7" s="15" t="s">
        <v>231</v>
      </c>
      <c r="E7" s="15" t="n">
        <f aca="false">IFERROR(INDEX(A13:A76,MATCH(E6,B13:B76,1)),37)</f>
        <v>64</v>
      </c>
    </row>
    <row r="8" customFormat="false" ht="15" hidden="false" customHeight="false" outlineLevel="0" collapsed="false">
      <c r="A8" s="15" t="s">
        <v>159</v>
      </c>
      <c r="B8" s="15" t="n">
        <f aca="false">IFERROR(INDEX(A13:A76,MATCH(TRUE(),INDEX(B13:B76&gt;B6,0),0)),"All done")</f>
        <v>46</v>
      </c>
      <c r="D8" s="15" t="s">
        <v>232</v>
      </c>
      <c r="E8" s="15" t="n">
        <f aca="false">SUMPRODUCT((B13:B76&lt;&gt;"")*(B13:B76&lt;=B6)*(F13:F76&lt;&gt;"Claimed"))</f>
        <v>0</v>
      </c>
    </row>
    <row r="9" customFormat="false" ht="15" hidden="false" customHeight="false" outlineLevel="0" collapsed="false">
      <c r="A9" s="15" t="s">
        <v>160</v>
      </c>
      <c r="B9" s="19" t="n">
        <f aca="false">IFERROR(INDEX(E13:E76,MATCH(TRUE(),INDEX(B13:B76&gt;B6,0),0)),0)</f>
        <v>10698350</v>
      </c>
    </row>
    <row r="10" customFormat="false" ht="15" hidden="false" customHeight="false" outlineLevel="0" collapsed="false">
      <c r="A10" s="15" t="s">
        <v>233</v>
      </c>
      <c r="B10" s="19" t="n">
        <f aca="false">MAX(0,B76-B6)</f>
        <v>3475698350</v>
      </c>
    </row>
    <row r="11" customFormat="false" ht="15" hidden="false" customHeight="false" outlineLevel="0" collapsed="false">
      <c r="A11" s="15" t="s">
        <v>234</v>
      </c>
      <c r="B11" s="19" t="n">
        <f aca="true">IFERROR(B10/MAX(B5-NOW(),0.01),0)</f>
        <v>552748939.953026</v>
      </c>
    </row>
    <row r="12" customFormat="false" ht="15" hidden="false" customHeight="false" outlineLevel="0" collapsed="false">
      <c r="A12" s="20" t="s">
        <v>161</v>
      </c>
      <c r="B12" s="20" t="s">
        <v>235</v>
      </c>
      <c r="C12" s="20" t="s">
        <v>164</v>
      </c>
      <c r="D12" s="20" t="s">
        <v>13</v>
      </c>
      <c r="E12" s="20" t="s">
        <v>236</v>
      </c>
      <c r="F12" s="20" t="s">
        <v>12</v>
      </c>
    </row>
    <row r="13" customFormat="false" ht="15" hidden="false" customHeight="false" outlineLevel="0" collapsed="false">
      <c r="A13" s="25" t="n">
        <v>1</v>
      </c>
      <c r="B13" s="13"/>
      <c r="C13" s="11" t="s">
        <v>237</v>
      </c>
      <c r="D13" s="11"/>
      <c r="E13" s="23" t="str">
        <f aca="false">IF(B13="","",MAX(0,B13-$B$6))</f>
        <v/>
      </c>
      <c r="F13" s="10" t="s">
        <v>168</v>
      </c>
    </row>
    <row r="14" customFormat="false" ht="15" hidden="false" customHeight="false" outlineLevel="0" collapsed="false">
      <c r="A14" s="25" t="n">
        <v>2</v>
      </c>
      <c r="B14" s="13"/>
      <c r="C14" s="11" t="s">
        <v>238</v>
      </c>
      <c r="D14" s="11"/>
      <c r="E14" s="23" t="str">
        <f aca="false">IF(B14="","",MAX(0,B14-$B$6))</f>
        <v/>
      </c>
      <c r="F14" s="10" t="s">
        <v>168</v>
      </c>
    </row>
    <row r="15" customFormat="false" ht="15" hidden="false" customHeight="false" outlineLevel="0" collapsed="false">
      <c r="A15" s="25" t="n">
        <v>3</v>
      </c>
      <c r="B15" s="13"/>
      <c r="C15" s="11" t="s">
        <v>239</v>
      </c>
      <c r="D15" s="11"/>
      <c r="E15" s="23" t="str">
        <f aca="false">IF(B15="","",MAX(0,B15-$B$6))</f>
        <v/>
      </c>
      <c r="F15" s="10" t="s">
        <v>168</v>
      </c>
    </row>
    <row r="16" customFormat="false" ht="15" hidden="false" customHeight="false" outlineLevel="0" collapsed="false">
      <c r="A16" s="25" t="n">
        <v>4</v>
      </c>
      <c r="B16" s="13"/>
      <c r="C16" s="11" t="s">
        <v>240</v>
      </c>
      <c r="D16" s="11"/>
      <c r="E16" s="23" t="str">
        <f aca="false">IF(B16="","",MAX(0,B16-$B$6))</f>
        <v/>
      </c>
      <c r="F16" s="10" t="s">
        <v>168</v>
      </c>
    </row>
    <row r="17" customFormat="false" ht="15" hidden="false" customHeight="false" outlineLevel="0" collapsed="false">
      <c r="A17" s="25" t="n">
        <v>5</v>
      </c>
      <c r="B17" s="13"/>
      <c r="C17" s="11" t="s">
        <v>241</v>
      </c>
      <c r="D17" s="11"/>
      <c r="E17" s="23" t="str">
        <f aca="false">IF(B17="","",MAX(0,B17-$B$6))</f>
        <v/>
      </c>
      <c r="F17" s="10" t="s">
        <v>168</v>
      </c>
    </row>
    <row r="18" customFormat="false" ht="15" hidden="false" customHeight="false" outlineLevel="0" collapsed="false">
      <c r="A18" s="25" t="n">
        <v>6</v>
      </c>
      <c r="B18" s="13"/>
      <c r="C18" s="11" t="s">
        <v>242</v>
      </c>
      <c r="D18" s="11"/>
      <c r="E18" s="23" t="str">
        <f aca="false">IF(B18="","",MAX(0,B18-$B$6))</f>
        <v/>
      </c>
      <c r="F18" s="10" t="s">
        <v>168</v>
      </c>
    </row>
    <row r="19" customFormat="false" ht="15" hidden="false" customHeight="false" outlineLevel="0" collapsed="false">
      <c r="A19" s="25" t="n">
        <v>7</v>
      </c>
      <c r="B19" s="13"/>
      <c r="C19" s="11" t="s">
        <v>243</v>
      </c>
      <c r="D19" s="11"/>
      <c r="E19" s="23" t="str">
        <f aca="false">IF(B19="","",MAX(0,B19-$B$6))</f>
        <v/>
      </c>
      <c r="F19" s="10" t="s">
        <v>168</v>
      </c>
    </row>
    <row r="20" customFormat="false" ht="15" hidden="false" customHeight="false" outlineLevel="0" collapsed="false">
      <c r="A20" s="25" t="n">
        <v>8</v>
      </c>
      <c r="B20" s="13"/>
      <c r="C20" s="11" t="s">
        <v>244</v>
      </c>
      <c r="D20" s="11"/>
      <c r="E20" s="23" t="str">
        <f aca="false">IF(B20="","",MAX(0,B20-$B$6))</f>
        <v/>
      </c>
      <c r="F20" s="10" t="s">
        <v>168</v>
      </c>
    </row>
    <row r="21" customFormat="false" ht="15" hidden="false" customHeight="false" outlineLevel="0" collapsed="false">
      <c r="A21" s="25" t="n">
        <v>9</v>
      </c>
      <c r="B21" s="13"/>
      <c r="C21" s="11" t="s">
        <v>245</v>
      </c>
      <c r="D21" s="11"/>
      <c r="E21" s="23" t="str">
        <f aca="false">IF(B21="","",MAX(0,B21-$B$6))</f>
        <v/>
      </c>
      <c r="F21" s="10" t="s">
        <v>168</v>
      </c>
    </row>
    <row r="22" customFormat="false" ht="15" hidden="false" customHeight="false" outlineLevel="0" collapsed="false">
      <c r="A22" s="25" t="n">
        <v>10</v>
      </c>
      <c r="B22" s="13"/>
      <c r="C22" s="11" t="s">
        <v>246</v>
      </c>
      <c r="D22" s="11"/>
      <c r="E22" s="23" t="str">
        <f aca="false">IF(B22="","",MAX(0,B22-$B$6))</f>
        <v/>
      </c>
      <c r="F22" s="10" t="s">
        <v>168</v>
      </c>
    </row>
    <row r="23" customFormat="false" ht="15" hidden="false" customHeight="false" outlineLevel="0" collapsed="false">
      <c r="A23" s="25" t="n">
        <v>11</v>
      </c>
      <c r="B23" s="13"/>
      <c r="C23" s="11" t="s">
        <v>247</v>
      </c>
      <c r="D23" s="11"/>
      <c r="E23" s="23" t="str">
        <f aca="false">IF(B23="","",MAX(0,B23-$B$6))</f>
        <v/>
      </c>
      <c r="F23" s="10" t="s">
        <v>168</v>
      </c>
    </row>
    <row r="24" customFormat="false" ht="15" hidden="false" customHeight="false" outlineLevel="0" collapsed="false">
      <c r="A24" s="25" t="n">
        <v>12</v>
      </c>
      <c r="B24" s="13"/>
      <c r="C24" s="11" t="s">
        <v>248</v>
      </c>
      <c r="D24" s="11"/>
      <c r="E24" s="23" t="str">
        <f aca="false">IF(B24="","",MAX(0,B24-$B$6))</f>
        <v/>
      </c>
      <c r="F24" s="10" t="s">
        <v>168</v>
      </c>
    </row>
    <row r="25" customFormat="false" ht="15" hidden="false" customHeight="false" outlineLevel="0" collapsed="false">
      <c r="A25" s="25" t="n">
        <v>13</v>
      </c>
      <c r="B25" s="13"/>
      <c r="C25" s="11" t="s">
        <v>249</v>
      </c>
      <c r="D25" s="11"/>
      <c r="E25" s="23" t="str">
        <f aca="false">IF(B25="","",MAX(0,B25-$B$6))</f>
        <v/>
      </c>
      <c r="F25" s="10" t="s">
        <v>168</v>
      </c>
    </row>
    <row r="26" customFormat="false" ht="15" hidden="false" customHeight="false" outlineLevel="0" collapsed="false">
      <c r="A26" s="25" t="n">
        <v>14</v>
      </c>
      <c r="B26" s="13"/>
      <c r="C26" s="11" t="s">
        <v>250</v>
      </c>
      <c r="D26" s="11"/>
      <c r="E26" s="23" t="str">
        <f aca="false">IF(B26="","",MAX(0,B26-$B$6))</f>
        <v/>
      </c>
      <c r="F26" s="10" t="s">
        <v>168</v>
      </c>
    </row>
    <row r="27" customFormat="false" ht="15" hidden="false" customHeight="false" outlineLevel="0" collapsed="false">
      <c r="A27" s="25" t="n">
        <v>15</v>
      </c>
      <c r="B27" s="13"/>
      <c r="C27" s="11" t="s">
        <v>251</v>
      </c>
      <c r="D27" s="11"/>
      <c r="E27" s="23" t="str">
        <f aca="false">IF(B27="","",MAX(0,B27-$B$6))</f>
        <v/>
      </c>
      <c r="F27" s="10" t="s">
        <v>168</v>
      </c>
    </row>
    <row r="28" customFormat="false" ht="15" hidden="false" customHeight="false" outlineLevel="0" collapsed="false">
      <c r="A28" s="25" t="n">
        <v>16</v>
      </c>
      <c r="B28" s="13"/>
      <c r="C28" s="11" t="s">
        <v>252</v>
      </c>
      <c r="D28" s="11"/>
      <c r="E28" s="23" t="str">
        <f aca="false">IF(B28="","",MAX(0,B28-$B$6))</f>
        <v/>
      </c>
      <c r="F28" s="10" t="s">
        <v>168</v>
      </c>
    </row>
    <row r="29" customFormat="false" ht="15" hidden="false" customHeight="false" outlineLevel="0" collapsed="false">
      <c r="A29" s="25" t="n">
        <v>17</v>
      </c>
      <c r="B29" s="13"/>
      <c r="C29" s="11" t="s">
        <v>253</v>
      </c>
      <c r="D29" s="11"/>
      <c r="E29" s="23" t="str">
        <f aca="false">IF(B29="","",MAX(0,B29-$B$6))</f>
        <v/>
      </c>
      <c r="F29" s="10" t="s">
        <v>168</v>
      </c>
    </row>
    <row r="30" customFormat="false" ht="15" hidden="false" customHeight="false" outlineLevel="0" collapsed="false">
      <c r="A30" s="25" t="n">
        <v>18</v>
      </c>
      <c r="B30" s="13"/>
      <c r="C30" s="11" t="s">
        <v>254</v>
      </c>
      <c r="D30" s="11"/>
      <c r="E30" s="23" t="str">
        <f aca="false">IF(B30="","",MAX(0,B30-$B$6))</f>
        <v/>
      </c>
      <c r="F30" s="10" t="s">
        <v>168</v>
      </c>
    </row>
    <row r="31" customFormat="false" ht="15" hidden="false" customHeight="false" outlineLevel="0" collapsed="false">
      <c r="A31" s="25" t="n">
        <v>19</v>
      </c>
      <c r="B31" s="13"/>
      <c r="C31" s="11" t="s">
        <v>255</v>
      </c>
      <c r="D31" s="11"/>
      <c r="E31" s="23" t="str">
        <f aca="false">IF(B31="","",MAX(0,B31-$B$6))</f>
        <v/>
      </c>
      <c r="F31" s="10" t="s">
        <v>168</v>
      </c>
    </row>
    <row r="32" customFormat="false" ht="15" hidden="false" customHeight="false" outlineLevel="0" collapsed="false">
      <c r="A32" s="25" t="n">
        <v>20</v>
      </c>
      <c r="B32" s="13"/>
      <c r="C32" s="11" t="s">
        <v>256</v>
      </c>
      <c r="D32" s="11"/>
      <c r="E32" s="23" t="str">
        <f aca="false">IF(B32="","",MAX(0,B32-$B$6))</f>
        <v/>
      </c>
      <c r="F32" s="10" t="s">
        <v>168</v>
      </c>
    </row>
    <row r="33" customFormat="false" ht="15" hidden="false" customHeight="false" outlineLevel="0" collapsed="false">
      <c r="A33" s="25" t="n">
        <v>21</v>
      </c>
      <c r="B33" s="13"/>
      <c r="C33" s="11" t="s">
        <v>257</v>
      </c>
      <c r="D33" s="11"/>
      <c r="E33" s="23" t="str">
        <f aca="false">IF(B33="","",MAX(0,B33-$B$6))</f>
        <v/>
      </c>
      <c r="F33" s="10" t="s">
        <v>168</v>
      </c>
    </row>
    <row r="34" customFormat="false" ht="15" hidden="false" customHeight="false" outlineLevel="0" collapsed="false">
      <c r="A34" s="25" t="n">
        <v>22</v>
      </c>
      <c r="B34" s="13"/>
      <c r="C34" s="11" t="s">
        <v>258</v>
      </c>
      <c r="D34" s="11"/>
      <c r="E34" s="23" t="str">
        <f aca="false">IF(B34="","",MAX(0,B34-$B$6))</f>
        <v/>
      </c>
      <c r="F34" s="10" t="s">
        <v>168</v>
      </c>
    </row>
    <row r="35" customFormat="false" ht="15" hidden="false" customHeight="false" outlineLevel="0" collapsed="false">
      <c r="A35" s="25" t="n">
        <v>23</v>
      </c>
      <c r="B35" s="13"/>
      <c r="C35" s="11" t="s">
        <v>259</v>
      </c>
      <c r="D35" s="11"/>
      <c r="E35" s="23" t="str">
        <f aca="false">IF(B35="","",MAX(0,B35-$B$6))</f>
        <v/>
      </c>
      <c r="F35" s="10" t="s">
        <v>168</v>
      </c>
    </row>
    <row r="36" customFormat="false" ht="15" hidden="false" customHeight="false" outlineLevel="0" collapsed="false">
      <c r="A36" s="25" t="n">
        <v>24</v>
      </c>
      <c r="B36" s="13"/>
      <c r="C36" s="11" t="s">
        <v>260</v>
      </c>
      <c r="D36" s="11"/>
      <c r="E36" s="23" t="str">
        <f aca="false">IF(B36="","",MAX(0,B36-$B$6))</f>
        <v/>
      </c>
      <c r="F36" s="10" t="s">
        <v>168</v>
      </c>
    </row>
    <row r="37" customFormat="false" ht="15" hidden="false" customHeight="false" outlineLevel="0" collapsed="false">
      <c r="A37" s="25" t="n">
        <v>25</v>
      </c>
      <c r="B37" s="13"/>
      <c r="C37" s="11" t="s">
        <v>261</v>
      </c>
      <c r="D37" s="11"/>
      <c r="E37" s="23" t="str">
        <f aca="false">IF(B37="","",MAX(0,B37-$B$6))</f>
        <v/>
      </c>
      <c r="F37" s="10" t="s">
        <v>168</v>
      </c>
    </row>
    <row r="38" customFormat="false" ht="15" hidden="false" customHeight="false" outlineLevel="0" collapsed="false">
      <c r="A38" s="25" t="n">
        <v>26</v>
      </c>
      <c r="B38" s="13"/>
      <c r="C38" s="11" t="s">
        <v>262</v>
      </c>
      <c r="D38" s="11"/>
      <c r="E38" s="23" t="str">
        <f aca="false">IF(B38="","",MAX(0,B38-$B$6))</f>
        <v/>
      </c>
      <c r="F38" s="10" t="s">
        <v>168</v>
      </c>
    </row>
    <row r="39" customFormat="false" ht="15" hidden="false" customHeight="false" outlineLevel="0" collapsed="false">
      <c r="A39" s="25" t="n">
        <v>27</v>
      </c>
      <c r="B39" s="13"/>
      <c r="C39" s="11" t="s">
        <v>263</v>
      </c>
      <c r="D39" s="11"/>
      <c r="E39" s="23" t="str">
        <f aca="false">IF(B39="","",MAX(0,B39-$B$6))</f>
        <v/>
      </c>
      <c r="F39" s="10" t="s">
        <v>168</v>
      </c>
    </row>
    <row r="40" customFormat="false" ht="15" hidden="false" customHeight="false" outlineLevel="0" collapsed="false">
      <c r="A40" s="25" t="n">
        <v>28</v>
      </c>
      <c r="B40" s="13"/>
      <c r="C40" s="11" t="s">
        <v>264</v>
      </c>
      <c r="D40" s="11"/>
      <c r="E40" s="23" t="str">
        <f aca="false">IF(B40="","",MAX(0,B40-$B$6))</f>
        <v/>
      </c>
      <c r="F40" s="10" t="s">
        <v>168</v>
      </c>
    </row>
    <row r="41" customFormat="false" ht="15" hidden="false" customHeight="false" outlineLevel="0" collapsed="false">
      <c r="A41" s="25" t="n">
        <v>29</v>
      </c>
      <c r="B41" s="13"/>
      <c r="C41" s="11" t="s">
        <v>265</v>
      </c>
      <c r="D41" s="11"/>
      <c r="E41" s="23" t="str">
        <f aca="false">IF(B41="","",MAX(0,B41-$B$6))</f>
        <v/>
      </c>
      <c r="F41" s="10" t="s">
        <v>168</v>
      </c>
    </row>
    <row r="42" customFormat="false" ht="15" hidden="false" customHeight="false" outlineLevel="0" collapsed="false">
      <c r="A42" s="25" t="n">
        <v>30</v>
      </c>
      <c r="B42" s="13"/>
      <c r="C42" s="11"/>
      <c r="D42" s="11" t="s">
        <v>266</v>
      </c>
      <c r="E42" s="23" t="str">
        <f aca="false">IF(B42="","",MAX(0,B42-$B$6))</f>
        <v/>
      </c>
      <c r="F42" s="10" t="s">
        <v>168</v>
      </c>
    </row>
    <row r="43" customFormat="false" ht="15" hidden="false" customHeight="false" outlineLevel="0" collapsed="false">
      <c r="A43" s="25" t="n">
        <v>31</v>
      </c>
      <c r="B43" s="13"/>
      <c r="C43" s="11"/>
      <c r="D43" s="11" t="s">
        <v>266</v>
      </c>
      <c r="E43" s="23" t="str">
        <f aca="false">IF(B43="","",MAX(0,B43-$B$6))</f>
        <v/>
      </c>
      <c r="F43" s="10" t="s">
        <v>168</v>
      </c>
    </row>
    <row r="44" customFormat="false" ht="15" hidden="false" customHeight="false" outlineLevel="0" collapsed="false">
      <c r="A44" s="25" t="n">
        <v>32</v>
      </c>
      <c r="B44" s="13"/>
      <c r="C44" s="11"/>
      <c r="D44" s="11" t="s">
        <v>266</v>
      </c>
      <c r="E44" s="23" t="str">
        <f aca="false">IF(B44="","",MAX(0,B44-$B$6))</f>
        <v/>
      </c>
      <c r="F44" s="10" t="s">
        <v>168</v>
      </c>
    </row>
    <row r="45" customFormat="false" ht="15" hidden="false" customHeight="false" outlineLevel="0" collapsed="false">
      <c r="A45" s="25" t="n">
        <v>33</v>
      </c>
      <c r="B45" s="13"/>
      <c r="C45" s="11"/>
      <c r="D45" s="11" t="s">
        <v>266</v>
      </c>
      <c r="E45" s="23" t="str">
        <f aca="false">IF(B45="","",MAX(0,B45-$B$6))</f>
        <v/>
      </c>
      <c r="F45" s="10" t="s">
        <v>168</v>
      </c>
    </row>
    <row r="46" customFormat="false" ht="15" hidden="false" customHeight="false" outlineLevel="0" collapsed="false">
      <c r="A46" s="25" t="n">
        <v>34</v>
      </c>
      <c r="B46" s="13"/>
      <c r="C46" s="11" t="s">
        <v>267</v>
      </c>
      <c r="D46" s="11"/>
      <c r="E46" s="23" t="str">
        <f aca="false">IF(B46="","",MAX(0,B46-$B$6))</f>
        <v/>
      </c>
      <c r="F46" s="10" t="s">
        <v>168</v>
      </c>
    </row>
    <row r="47" customFormat="false" ht="15" hidden="false" customHeight="false" outlineLevel="0" collapsed="false">
      <c r="A47" s="25" t="n">
        <v>35</v>
      </c>
      <c r="B47" s="13"/>
      <c r="C47" s="11" t="s">
        <v>268</v>
      </c>
      <c r="D47" s="11"/>
      <c r="E47" s="23" t="str">
        <f aca="false">IF(B47="","",MAX(0,B47-$B$6))</f>
        <v/>
      </c>
      <c r="F47" s="10" t="s">
        <v>168</v>
      </c>
    </row>
    <row r="48" customFormat="false" ht="15" hidden="false" customHeight="false" outlineLevel="0" collapsed="false">
      <c r="A48" s="25" t="n">
        <v>36</v>
      </c>
      <c r="B48" s="13"/>
      <c r="C48" s="11" t="s">
        <v>269</v>
      </c>
      <c r="D48" s="11"/>
      <c r="E48" s="23" t="str">
        <f aca="false">IF(B48="","",MAX(0,B48-$B$6))</f>
        <v/>
      </c>
      <c r="F48" s="10" t="s">
        <v>168</v>
      </c>
    </row>
    <row r="49" customFormat="false" ht="15" hidden="false" customHeight="false" outlineLevel="0" collapsed="false">
      <c r="A49" s="25" t="n">
        <v>37</v>
      </c>
      <c r="B49" s="13"/>
      <c r="C49" s="11" t="s">
        <v>270</v>
      </c>
      <c r="D49" s="11"/>
      <c r="E49" s="23" t="str">
        <f aca="false">IF(B49="","",MAX(0,B49-$B$6))</f>
        <v/>
      </c>
      <c r="F49" s="10" t="s">
        <v>168</v>
      </c>
    </row>
    <row r="50" customFormat="false" ht="15" hidden="false" customHeight="false" outlineLevel="0" collapsed="false">
      <c r="A50" s="25" t="n">
        <v>38</v>
      </c>
      <c r="B50" s="13" t="n">
        <v>435000000</v>
      </c>
      <c r="C50" s="11" t="s">
        <v>271</v>
      </c>
      <c r="D50" s="11"/>
      <c r="E50" s="23" t="n">
        <f aca="false">IF(B50="","",MAX(0,B50-$B$6))</f>
        <v>0</v>
      </c>
      <c r="F50" s="10" t="s">
        <v>168</v>
      </c>
    </row>
    <row r="51" customFormat="false" ht="15" hidden="false" customHeight="false" outlineLevel="0" collapsed="false">
      <c r="A51" s="25" t="n">
        <v>39</v>
      </c>
      <c r="B51" s="13" t="n">
        <v>450000000</v>
      </c>
      <c r="C51" s="11" t="s">
        <v>272</v>
      </c>
      <c r="D51" s="11"/>
      <c r="E51" s="23" t="n">
        <f aca="false">IF(B51="","",MAX(0,B51-$B$6))</f>
        <v>0</v>
      </c>
      <c r="F51" s="10" t="s">
        <v>168</v>
      </c>
    </row>
    <row r="52" customFormat="false" ht="15" hidden="false" customHeight="false" outlineLevel="0" collapsed="false">
      <c r="A52" s="25" t="n">
        <v>40</v>
      </c>
      <c r="B52" s="13" t="n">
        <v>480000000</v>
      </c>
      <c r="C52" s="11" t="s">
        <v>273</v>
      </c>
      <c r="D52" s="11"/>
      <c r="E52" s="23" t="n">
        <f aca="false">IF(B52="","",MAX(0,B52-$B$6))</f>
        <v>0</v>
      </c>
      <c r="F52" s="10" t="s">
        <v>168</v>
      </c>
    </row>
    <row r="53" customFormat="false" ht="15" hidden="false" customHeight="false" outlineLevel="0" collapsed="false">
      <c r="A53" s="25" t="n">
        <v>41</v>
      </c>
      <c r="B53" s="13" t="n">
        <v>510000000</v>
      </c>
      <c r="C53" s="11" t="s">
        <v>274</v>
      </c>
      <c r="D53" s="11" t="s">
        <v>275</v>
      </c>
      <c r="E53" s="23" t="n">
        <f aca="false">IF(B53="","",MAX(0,B53-$B$6))</f>
        <v>0</v>
      </c>
      <c r="F53" s="10" t="s">
        <v>168</v>
      </c>
    </row>
    <row r="54" customFormat="false" ht="15" hidden="false" customHeight="false" outlineLevel="0" collapsed="false">
      <c r="A54" s="25" t="n">
        <v>42</v>
      </c>
      <c r="B54" s="13" t="n">
        <v>540000000</v>
      </c>
      <c r="C54" s="11" t="s">
        <v>276</v>
      </c>
      <c r="D54" s="11"/>
      <c r="E54" s="23" t="n">
        <f aca="false">IF(B54="","",MAX(0,B54-$B$6))</f>
        <v>0</v>
      </c>
      <c r="F54" s="10" t="s">
        <v>168</v>
      </c>
    </row>
    <row r="55" customFormat="false" ht="15" hidden="false" customHeight="false" outlineLevel="0" collapsed="false">
      <c r="A55" s="25" t="n">
        <v>43</v>
      </c>
      <c r="B55" s="13" t="n">
        <v>570000000</v>
      </c>
      <c r="C55" s="11" t="s">
        <v>277</v>
      </c>
      <c r="D55" s="11"/>
      <c r="E55" s="23" t="n">
        <f aca="false">IF(B55="","",MAX(0,B55-$B$6))</f>
        <v>0</v>
      </c>
      <c r="F55" s="10" t="s">
        <v>168</v>
      </c>
    </row>
    <row r="56" customFormat="false" ht="15" hidden="false" customHeight="false" outlineLevel="0" collapsed="false">
      <c r="A56" s="25" t="n">
        <v>44</v>
      </c>
      <c r="B56" s="13" t="n">
        <v>600000000</v>
      </c>
      <c r="C56" s="11" t="s">
        <v>278</v>
      </c>
      <c r="D56" s="11"/>
      <c r="E56" s="23" t="n">
        <f aca="false">IF(B56="","",MAX(0,B56-$B$6))</f>
        <v>0</v>
      </c>
      <c r="F56" s="10" t="s">
        <v>168</v>
      </c>
    </row>
    <row r="57" customFormat="false" ht="15" hidden="false" customHeight="false" outlineLevel="0" collapsed="false">
      <c r="A57" s="25" t="n">
        <v>45</v>
      </c>
      <c r="B57" s="13" t="n">
        <v>630000000</v>
      </c>
      <c r="C57" s="11" t="s">
        <v>279</v>
      </c>
      <c r="D57" s="11"/>
      <c r="E57" s="23" t="n">
        <f aca="false">IF(B57="","",MAX(0,B57-$B$6))</f>
        <v>0</v>
      </c>
      <c r="F57" s="10" t="s">
        <v>168</v>
      </c>
    </row>
    <row r="58" customFormat="false" ht="15" hidden="false" customHeight="false" outlineLevel="0" collapsed="false">
      <c r="A58" s="25" t="n">
        <v>46</v>
      </c>
      <c r="B58" s="13" t="n">
        <v>660000000</v>
      </c>
      <c r="C58" s="11" t="s">
        <v>280</v>
      </c>
      <c r="D58" s="11"/>
      <c r="E58" s="23" t="n">
        <f aca="false">IF(B58="","",MAX(0,B58-$B$6))</f>
        <v>10698350</v>
      </c>
      <c r="F58" s="10" t="s">
        <v>171</v>
      </c>
    </row>
    <row r="59" customFormat="false" ht="15" hidden="false" customHeight="false" outlineLevel="0" collapsed="false">
      <c r="A59" s="25" t="n">
        <v>47</v>
      </c>
      <c r="B59" s="13" t="n">
        <v>690000000</v>
      </c>
      <c r="C59" s="11" t="s">
        <v>281</v>
      </c>
      <c r="D59" s="11"/>
      <c r="E59" s="23" t="n">
        <f aca="false">IF(B59="","",MAX(0,B59-$B$6))</f>
        <v>40698350</v>
      </c>
      <c r="F59" s="10" t="s">
        <v>171</v>
      </c>
    </row>
    <row r="60" customFormat="false" ht="15" hidden="false" customHeight="false" outlineLevel="0" collapsed="false">
      <c r="A60" s="25" t="n">
        <v>48</v>
      </c>
      <c r="B60" s="13" t="n">
        <v>750000000</v>
      </c>
      <c r="C60" s="11" t="s">
        <v>282</v>
      </c>
      <c r="D60" s="11"/>
      <c r="E60" s="23" t="n">
        <f aca="false">IF(B60="","",MAX(0,B60-$B$6))</f>
        <v>100698350</v>
      </c>
      <c r="F60" s="10" t="s">
        <v>171</v>
      </c>
    </row>
    <row r="61" customFormat="false" ht="15" hidden="false" customHeight="false" outlineLevel="0" collapsed="false">
      <c r="A61" s="25" t="n">
        <v>49</v>
      </c>
      <c r="B61" s="13" t="n">
        <v>825000000</v>
      </c>
      <c r="C61" s="11" t="s">
        <v>283</v>
      </c>
      <c r="D61" s="11"/>
      <c r="E61" s="23" t="n">
        <f aca="false">IF(B61="","",MAX(0,B61-$B$6))</f>
        <v>175698350</v>
      </c>
      <c r="F61" s="10" t="s">
        <v>171</v>
      </c>
    </row>
    <row r="62" customFormat="false" ht="15" hidden="false" customHeight="false" outlineLevel="0" collapsed="false">
      <c r="A62" s="25" t="n">
        <v>50</v>
      </c>
      <c r="B62" s="13" t="n">
        <v>900000000</v>
      </c>
      <c r="C62" s="11" t="s">
        <v>284</v>
      </c>
      <c r="D62" s="11"/>
      <c r="E62" s="23" t="n">
        <f aca="false">IF(B62="","",MAX(0,B62-$B$6))</f>
        <v>250698350</v>
      </c>
      <c r="F62" s="10" t="s">
        <v>171</v>
      </c>
    </row>
    <row r="63" customFormat="false" ht="15" hidden="false" customHeight="false" outlineLevel="0" collapsed="false">
      <c r="A63" s="25" t="n">
        <v>51</v>
      </c>
      <c r="B63" s="13" t="n">
        <v>975000000</v>
      </c>
      <c r="C63" s="11" t="s">
        <v>285</v>
      </c>
      <c r="D63" s="11"/>
      <c r="E63" s="23" t="n">
        <f aca="false">IF(B63="","",MAX(0,B63-$B$6))</f>
        <v>325698350</v>
      </c>
      <c r="F63" s="10" t="s">
        <v>171</v>
      </c>
    </row>
    <row r="64" customFormat="false" ht="15" hidden="false" customHeight="false" outlineLevel="0" collapsed="false">
      <c r="A64" s="25" t="n">
        <v>52</v>
      </c>
      <c r="B64" s="13" t="n">
        <v>1050000000</v>
      </c>
      <c r="C64" s="11" t="s">
        <v>286</v>
      </c>
      <c r="D64" s="11"/>
      <c r="E64" s="23" t="n">
        <f aca="false">IF(B64="","",MAX(0,B64-$B$6))</f>
        <v>400698350</v>
      </c>
      <c r="F64" s="10" t="s">
        <v>171</v>
      </c>
    </row>
    <row r="65" customFormat="false" ht="15" hidden="false" customHeight="false" outlineLevel="0" collapsed="false">
      <c r="A65" s="25" t="n">
        <v>53</v>
      </c>
      <c r="B65" s="13" t="n">
        <v>1125000000</v>
      </c>
      <c r="C65" s="11" t="s">
        <v>287</v>
      </c>
      <c r="D65" s="11"/>
      <c r="E65" s="23" t="n">
        <f aca="false">IF(B65="","",MAX(0,B65-$B$6))</f>
        <v>475698350</v>
      </c>
      <c r="F65" s="10" t="s">
        <v>171</v>
      </c>
    </row>
    <row r="66" customFormat="false" ht="15" hidden="false" customHeight="false" outlineLevel="0" collapsed="false">
      <c r="A66" s="25" t="n">
        <v>54</v>
      </c>
      <c r="B66" s="13" t="n">
        <v>1200000000</v>
      </c>
      <c r="C66" s="11" t="s">
        <v>288</v>
      </c>
      <c r="D66" s="11"/>
      <c r="E66" s="23" t="n">
        <f aca="false">IF(B66="","",MAX(0,B66-$B$6))</f>
        <v>550698350</v>
      </c>
      <c r="F66" s="10" t="s">
        <v>171</v>
      </c>
    </row>
    <row r="67" customFormat="false" ht="15" hidden="false" customHeight="false" outlineLevel="0" collapsed="false">
      <c r="A67" s="25" t="n">
        <v>55</v>
      </c>
      <c r="B67" s="13" t="n">
        <v>1350000000</v>
      </c>
      <c r="C67" s="11" t="s">
        <v>289</v>
      </c>
      <c r="D67" s="11"/>
      <c r="E67" s="23" t="n">
        <f aca="false">IF(B67="","",MAX(0,B67-$B$6))</f>
        <v>700698350</v>
      </c>
      <c r="F67" s="10" t="s">
        <v>171</v>
      </c>
    </row>
    <row r="68" customFormat="false" ht="15" hidden="false" customHeight="false" outlineLevel="0" collapsed="false">
      <c r="A68" s="25" t="n">
        <v>56</v>
      </c>
      <c r="B68" s="13" t="n">
        <v>1500000000</v>
      </c>
      <c r="C68" s="11" t="s">
        <v>290</v>
      </c>
      <c r="D68" s="11"/>
      <c r="E68" s="23" t="n">
        <f aca="false">IF(B68="","",MAX(0,B68-$B$6))</f>
        <v>850698350</v>
      </c>
      <c r="F68" s="10" t="s">
        <v>171</v>
      </c>
    </row>
    <row r="69" customFormat="false" ht="15" hidden="false" customHeight="false" outlineLevel="0" collapsed="false">
      <c r="A69" s="25" t="n">
        <v>57</v>
      </c>
      <c r="B69" s="13" t="n">
        <v>1650000000</v>
      </c>
      <c r="C69" s="11" t="s">
        <v>291</v>
      </c>
      <c r="D69" s="11"/>
      <c r="E69" s="23" t="n">
        <f aca="false">IF(B69="","",MAX(0,B69-$B$6))</f>
        <v>1000698350</v>
      </c>
      <c r="F69" s="10" t="s">
        <v>171</v>
      </c>
    </row>
    <row r="70" customFormat="false" ht="15" hidden="false" customHeight="false" outlineLevel="0" collapsed="false">
      <c r="A70" s="25" t="n">
        <v>58</v>
      </c>
      <c r="B70" s="13" t="n">
        <v>1875000000</v>
      </c>
      <c r="C70" s="11" t="s">
        <v>292</v>
      </c>
      <c r="D70" s="11"/>
      <c r="E70" s="23" t="n">
        <f aca="false">IF(B70="","",MAX(0,B70-$B$6))</f>
        <v>1225698350</v>
      </c>
      <c r="F70" s="10" t="s">
        <v>171</v>
      </c>
    </row>
    <row r="71" customFormat="false" ht="15" hidden="false" customHeight="false" outlineLevel="0" collapsed="false">
      <c r="A71" s="25" t="n">
        <v>59</v>
      </c>
      <c r="B71" s="13" t="n">
        <v>2250000000</v>
      </c>
      <c r="C71" s="11" t="s">
        <v>293</v>
      </c>
      <c r="D71" s="11"/>
      <c r="E71" s="23" t="n">
        <f aca="false">IF(B71="","",MAX(0,B71-$B$6))</f>
        <v>1600698350</v>
      </c>
      <c r="F71" s="10" t="s">
        <v>171</v>
      </c>
    </row>
    <row r="72" customFormat="false" ht="15" hidden="false" customHeight="false" outlineLevel="0" collapsed="false">
      <c r="A72" s="25" t="n">
        <v>60</v>
      </c>
      <c r="B72" s="13" t="n">
        <v>2625000000</v>
      </c>
      <c r="C72" s="11" t="s">
        <v>294</v>
      </c>
      <c r="D72" s="11"/>
      <c r="E72" s="23" t="n">
        <f aca="false">IF(B72="","",MAX(0,B72-$B$6))</f>
        <v>1975698350</v>
      </c>
      <c r="F72" s="10" t="s">
        <v>171</v>
      </c>
    </row>
    <row r="73" customFormat="false" ht="15" hidden="false" customHeight="false" outlineLevel="0" collapsed="false">
      <c r="A73" s="25" t="n">
        <v>61</v>
      </c>
      <c r="B73" s="13" t="n">
        <v>3000000000</v>
      </c>
      <c r="C73" s="11" t="s">
        <v>295</v>
      </c>
      <c r="D73" s="11"/>
      <c r="E73" s="23" t="n">
        <f aca="false">IF(B73="","",MAX(0,B73-$B$6))</f>
        <v>2350698350</v>
      </c>
      <c r="F73" s="10" t="s">
        <v>171</v>
      </c>
    </row>
    <row r="74" customFormat="false" ht="15" hidden="false" customHeight="false" outlineLevel="0" collapsed="false">
      <c r="A74" s="25" t="n">
        <v>62</v>
      </c>
      <c r="B74" s="13" t="n">
        <v>3375000000</v>
      </c>
      <c r="C74" s="11" t="s">
        <v>296</v>
      </c>
      <c r="D74" s="11"/>
      <c r="E74" s="23" t="n">
        <f aca="false">IF(B74="","",MAX(0,B74-$B$6))</f>
        <v>2725698350</v>
      </c>
      <c r="F74" s="10" t="s">
        <v>171</v>
      </c>
    </row>
    <row r="75" customFormat="false" ht="15" hidden="false" customHeight="false" outlineLevel="0" collapsed="false">
      <c r="A75" s="25" t="n">
        <v>63</v>
      </c>
      <c r="B75" s="13" t="n">
        <v>3750000000</v>
      </c>
      <c r="C75" s="11" t="s">
        <v>297</v>
      </c>
      <c r="D75" s="11"/>
      <c r="E75" s="23" t="n">
        <f aca="false">IF(B75="","",MAX(0,B75-$B$6))</f>
        <v>3100698350</v>
      </c>
      <c r="F75" s="10" t="s">
        <v>171</v>
      </c>
    </row>
    <row r="76" customFormat="false" ht="15" hidden="false" customHeight="false" outlineLevel="0" collapsed="false">
      <c r="A76" s="25" t="n">
        <v>64</v>
      </c>
      <c r="B76" s="13" t="n">
        <v>4125000000</v>
      </c>
      <c r="C76" s="11" t="s">
        <v>298</v>
      </c>
      <c r="D76" s="11"/>
      <c r="E76" s="23" t="n">
        <f aca="false">IF(B76="","",MAX(0,B76-$B$6))</f>
        <v>3475698350</v>
      </c>
      <c r="F76" s="10" t="s">
        <v>171</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299</v>
      </c>
    </row>
    <row r="2" customFormat="false" ht="15" hidden="false" customHeight="false" outlineLevel="0" collapsed="false">
      <c r="A2" s="2" t="s">
        <v>300</v>
      </c>
    </row>
    <row r="4" customFormat="false" ht="15" hidden="false" customHeight="false" outlineLevel="0" collapsed="false">
      <c r="A4" s="20" t="s">
        <v>301</v>
      </c>
      <c r="B4" s="20" t="s">
        <v>302</v>
      </c>
      <c r="C4" s="20" t="s">
        <v>303</v>
      </c>
      <c r="D4" s="20" t="s">
        <v>304</v>
      </c>
      <c r="E4" s="20" t="s">
        <v>305</v>
      </c>
      <c r="F4" s="20" t="s">
        <v>306</v>
      </c>
      <c r="G4" s="20" t="s">
        <v>307</v>
      </c>
      <c r="H4" s="20" t="s">
        <v>308</v>
      </c>
      <c r="I4" s="20" t="s">
        <v>309</v>
      </c>
      <c r="J4" s="20" t="s">
        <v>310</v>
      </c>
    </row>
    <row r="5" customFormat="false" ht="15" hidden="false" customHeight="false" outlineLevel="0" collapsed="false">
      <c r="A5" s="11" t="s">
        <v>311</v>
      </c>
      <c r="B5" s="11" t="s">
        <v>312</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313</v>
      </c>
    </row>
    <row r="6" customFormat="false" ht="15" hidden="false" customHeight="false" outlineLevel="0" collapsed="false">
      <c r="A6" s="11" t="s">
        <v>311</v>
      </c>
      <c r="B6" s="11" t="s">
        <v>314</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313</v>
      </c>
    </row>
    <row r="7" customFormat="false" ht="15" hidden="false" customHeight="false" outlineLevel="0" collapsed="false">
      <c r="A7" s="11" t="s">
        <v>315</v>
      </c>
      <c r="B7" s="11" t="s">
        <v>316</v>
      </c>
      <c r="C7" s="13" t="n">
        <v>1</v>
      </c>
      <c r="D7" s="13" t="n">
        <v>1000000000</v>
      </c>
      <c r="E7" s="24" t="n">
        <v>52951650</v>
      </c>
      <c r="F7" s="21" t="n">
        <f aca="false">IF(ISNUMBER(D7),MAX(0,D7-E7),0)</f>
        <v>947048350</v>
      </c>
      <c r="G7" s="21" t="n">
        <f aca="false">IF(ISNUMBER(D7),ROUNDUP(D7/C7,0),"No limit")</f>
        <v>1000000000</v>
      </c>
      <c r="H7" s="21" t="n">
        <f aca="false">IFERROR(INT(E7/C7),0)</f>
        <v>52951650</v>
      </c>
      <c r="I7" s="21" t="n">
        <f aca="false">IFERROR(ROUNDUP(F7/C7,0),0)</f>
        <v>947048350</v>
      </c>
      <c r="J7" s="10" t="s">
        <v>317</v>
      </c>
    </row>
    <row r="8" customFormat="false" ht="15" hidden="false" customHeight="false" outlineLevel="0" collapsed="false">
      <c r="A8" s="11" t="s">
        <v>315</v>
      </c>
      <c r="B8" s="11" t="s">
        <v>318</v>
      </c>
      <c r="C8" s="13" t="n">
        <v>4000</v>
      </c>
      <c r="D8" s="13" t="n">
        <v>1000000000</v>
      </c>
      <c r="E8" s="24" t="n">
        <v>17100000</v>
      </c>
      <c r="F8" s="21" t="n">
        <f aca="false">IF(ISNUMBER(D8),MAX(0,D8-E8),0)</f>
        <v>982900000</v>
      </c>
      <c r="G8" s="21" t="n">
        <f aca="false">IF(ISNUMBER(D8),ROUNDUP(D8/C8,0),"No limit")</f>
        <v>250000</v>
      </c>
      <c r="H8" s="21" t="n">
        <f aca="false">IFERROR(INT(E8/C8),0)</f>
        <v>4275</v>
      </c>
      <c r="I8" s="21" t="n">
        <f aca="false">IFERROR(ROUNDUP(F8/C8,0),0)</f>
        <v>245725</v>
      </c>
      <c r="J8" s="10" t="s">
        <v>317</v>
      </c>
    </row>
    <row r="9" customFormat="false" ht="15" hidden="false" customHeight="false" outlineLevel="0" collapsed="false">
      <c r="A9" s="11" t="s">
        <v>5</v>
      </c>
      <c r="B9" s="11" t="s">
        <v>319</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313</v>
      </c>
    </row>
    <row r="10" customFormat="false" ht="15" hidden="false" customHeight="false" outlineLevel="0" collapsed="false">
      <c r="A10" s="11" t="s">
        <v>5</v>
      </c>
      <c r="B10" s="11" t="s">
        <v>320</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313</v>
      </c>
    </row>
    <row r="11" customFormat="false" ht="15" hidden="false" customHeight="false" outlineLevel="0" collapsed="false">
      <c r="A11" s="11" t="s">
        <v>321</v>
      </c>
      <c r="B11" s="11" t="s">
        <v>322</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313</v>
      </c>
    </row>
    <row r="12" customFormat="false" ht="15" hidden="false" customHeight="false" outlineLevel="0" collapsed="false">
      <c r="A12" s="11" t="s">
        <v>321</v>
      </c>
      <c r="B12" s="11" t="s">
        <v>323</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313</v>
      </c>
    </row>
    <row r="13" customFormat="false" ht="15" hidden="false" customHeight="false" outlineLevel="0" collapsed="false">
      <c r="A13" s="11" t="s">
        <v>321</v>
      </c>
      <c r="B13" s="11" t="s">
        <v>324</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313</v>
      </c>
    </row>
    <row r="14" customFormat="false" ht="15" hidden="false" customHeight="false" outlineLevel="0" collapsed="false">
      <c r="A14" s="11" t="s">
        <v>321</v>
      </c>
      <c r="B14" s="11" t="s">
        <v>325</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313</v>
      </c>
    </row>
    <row r="15" customFormat="false" ht="15" hidden="false" customHeight="false" outlineLevel="0" collapsed="false">
      <c r="A15" s="11" t="s">
        <v>321</v>
      </c>
      <c r="B15" s="11" t="s">
        <v>326</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313</v>
      </c>
    </row>
    <row r="16" customFormat="false" ht="15" hidden="false" customHeight="false" outlineLevel="0" collapsed="false">
      <c r="A16" s="11" t="s">
        <v>321</v>
      </c>
      <c r="B16" s="11" t="s">
        <v>327</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313</v>
      </c>
    </row>
    <row r="17" customFormat="false" ht="15" hidden="false" customHeight="false" outlineLevel="0" collapsed="false">
      <c r="A17" s="11" t="s">
        <v>321</v>
      </c>
      <c r="B17" s="11" t="s">
        <v>328</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313</v>
      </c>
    </row>
    <row r="18" customFormat="false" ht="15" hidden="false" customHeight="false" outlineLevel="0" collapsed="false">
      <c r="A18" s="11" t="s">
        <v>321</v>
      </c>
      <c r="B18" s="11" t="s">
        <v>329</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313</v>
      </c>
    </row>
    <row r="19" customFormat="false" ht="15" hidden="false" customHeight="false" outlineLevel="0" collapsed="false">
      <c r="A19" s="11" t="s">
        <v>321</v>
      </c>
      <c r="B19" s="11" t="s">
        <v>330</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313</v>
      </c>
    </row>
    <row r="20" customFormat="false" ht="15" hidden="false" customHeight="false" outlineLevel="0" collapsed="false">
      <c r="A20" s="11" t="s">
        <v>321</v>
      </c>
      <c r="B20" s="11" t="s">
        <v>331</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313</v>
      </c>
    </row>
    <row r="21" customFormat="false" ht="15" hidden="false" customHeight="false" outlineLevel="0" collapsed="false">
      <c r="A21" s="11" t="s">
        <v>321</v>
      </c>
      <c r="B21" s="11" t="s">
        <v>332</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313</v>
      </c>
    </row>
    <row r="22" customFormat="false" ht="15" hidden="false" customHeight="false" outlineLevel="0" collapsed="false">
      <c r="A22" s="11" t="s">
        <v>321</v>
      </c>
      <c r="B22" s="11" t="s">
        <v>333</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313</v>
      </c>
    </row>
    <row r="23" customFormat="false" ht="15" hidden="false" customHeight="false" outlineLevel="0" collapsed="false">
      <c r="A23" s="11" t="s">
        <v>321</v>
      </c>
      <c r="B23" s="11" t="s">
        <v>334</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313</v>
      </c>
    </row>
    <row r="24" customFormat="false" ht="15" hidden="false" customHeight="false" outlineLevel="0" collapsed="false">
      <c r="A24" s="11" t="s">
        <v>321</v>
      </c>
      <c r="B24" s="11" t="s">
        <v>335</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313</v>
      </c>
    </row>
    <row r="25" customFormat="false" ht="15" hidden="false" customHeight="false" outlineLevel="0" collapsed="false">
      <c r="A25" s="11" t="s">
        <v>321</v>
      </c>
      <c r="B25" s="11" t="s">
        <v>336</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313</v>
      </c>
    </row>
    <row r="26" customFormat="false" ht="15" hidden="false" customHeight="false" outlineLevel="0" collapsed="false">
      <c r="A26" s="11" t="s">
        <v>321</v>
      </c>
      <c r="B26" s="11" t="s">
        <v>337</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313</v>
      </c>
    </row>
    <row r="27" customFormat="false" ht="15" hidden="false" customHeight="false" outlineLevel="0" collapsed="false">
      <c r="A27" s="11" t="s">
        <v>321</v>
      </c>
      <c r="B27" s="11" t="s">
        <v>338</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313</v>
      </c>
    </row>
    <row r="28" customFormat="false" ht="15" hidden="false" customHeight="false" outlineLevel="0" collapsed="false">
      <c r="A28" s="11" t="s">
        <v>321</v>
      </c>
      <c r="B28" s="11" t="s">
        <v>339</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313</v>
      </c>
    </row>
    <row r="29" customFormat="false" ht="15" hidden="false" customHeight="false" outlineLevel="0" collapsed="false">
      <c r="A29" s="11" t="s">
        <v>321</v>
      </c>
      <c r="B29" s="11" t="s">
        <v>340</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313</v>
      </c>
    </row>
    <row r="30" customFormat="false" ht="15" hidden="false" customHeight="false" outlineLevel="0" collapsed="false">
      <c r="A30" s="11" t="s">
        <v>321</v>
      </c>
      <c r="B30" s="11" t="s">
        <v>341</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313</v>
      </c>
    </row>
    <row r="31" customFormat="false" ht="15" hidden="false" customHeight="false" outlineLevel="0" collapsed="false">
      <c r="A31" s="11" t="s">
        <v>342</v>
      </c>
      <c r="B31" s="11" t="s">
        <v>343</v>
      </c>
      <c r="C31" s="13" t="n">
        <v>40000000</v>
      </c>
      <c r="D31" s="13" t="n">
        <v>80000000</v>
      </c>
      <c r="E31" s="24" t="n">
        <v>0</v>
      </c>
      <c r="F31" s="21" t="n">
        <f aca="false">IF(ISNUMBER(D31),MAX(0,D31-E31),0)</f>
        <v>80000000</v>
      </c>
      <c r="G31" s="21" t="n">
        <f aca="false">IF(ISNUMBER(D31),ROUNDUP(D31/C31,0),"No limit")</f>
        <v>2</v>
      </c>
      <c r="H31" s="21" t="n">
        <f aca="false">IFERROR(INT(E31/C31),0)</f>
        <v>0</v>
      </c>
      <c r="I31" s="21" t="n">
        <f aca="false">IFERROR(ROUNDUP(F31/C31,0),0)</f>
        <v>2</v>
      </c>
      <c r="J31" s="10" t="s">
        <v>313</v>
      </c>
    </row>
    <row r="32" customFormat="false" ht="15" hidden="false" customHeight="false" outlineLevel="0" collapsed="false">
      <c r="A32" s="11" t="s">
        <v>342</v>
      </c>
      <c r="B32" s="11" t="s">
        <v>344</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313</v>
      </c>
    </row>
    <row r="33" customFormat="false" ht="15" hidden="false" customHeight="false" outlineLevel="0" collapsed="false">
      <c r="A33" s="11" t="s">
        <v>342</v>
      </c>
      <c r="B33" s="11" t="s">
        <v>345</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313</v>
      </c>
    </row>
    <row r="34" customFormat="false" ht="15" hidden="false" customHeight="false" outlineLevel="0" collapsed="false">
      <c r="A34" s="11" t="s">
        <v>346</v>
      </c>
      <c r="B34" s="11" t="s">
        <v>347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313</v>
      </c>
    </row>
    <row r="35" customFormat="false" ht="15" hidden="false" customHeight="false" outlineLevel="0" collapsed="false">
      <c r="A35" s="11" t="s">
        <v>346</v>
      </c>
      <c r="B35" s="11" t="s">
        <v>348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313</v>
      </c>
    </row>
    <row r="36" customFormat="false" ht="15" hidden="false" customHeight="false" outlineLevel="0" collapsed="false">
      <c r="A36" s="11" t="s">
        <v>349</v>
      </c>
      <c r="B36" s="11" t="s">
        <v>350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313</v>
      </c>
    </row>
    <row r="37" customFormat="false" ht="15" hidden="false" customHeight="false" outlineLevel="0" collapsed="false">
      <c r="A37" s="11" t="s">
        <v>349</v>
      </c>
      <c r="B37" s="11" t="s">
        <v>351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313</v>
      </c>
    </row>
    <row r="38" customFormat="false" ht="15" hidden="false" customHeight="false" outlineLevel="0" collapsed="false">
      <c r="A38" s="11" t="s">
        <v>349</v>
      </c>
      <c r="B38" s="11" t="s">
        <v>352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313</v>
      </c>
    </row>
    <row r="39" customFormat="false" ht="15" hidden="false" customHeight="false" outlineLevel="0" collapsed="false">
      <c r="A39" s="11" t="s">
        <v>349</v>
      </c>
      <c r="B39" s="11" t="s">
        <v>353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313</v>
      </c>
    </row>
    <row r="40" customFormat="false" ht="15" hidden="false" customHeight="false" outlineLevel="0" collapsed="false">
      <c r="A40" s="11" t="s">
        <v>349</v>
      </c>
      <c r="B40" s="11" t="s">
        <v>354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313</v>
      </c>
    </row>
    <row r="41" customFormat="false" ht="15" hidden="false" customHeight="false" outlineLevel="0" collapsed="false">
      <c r="A41" s="11" t="s">
        <v>355</v>
      </c>
      <c r="B41" s="11" t="s">
        <v>356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313</v>
      </c>
    </row>
    <row r="42" customFormat="false" ht="15" hidden="false" customHeight="false" outlineLevel="0" collapsed="false">
      <c r="A42" s="11" t="s">
        <v>355</v>
      </c>
      <c r="B42" s="11" t="s">
        <v>357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313</v>
      </c>
    </row>
    <row r="43" customFormat="false" ht="15" hidden="false" customHeight="false" outlineLevel="0" collapsed="false">
      <c r="A43" s="11" t="s">
        <v>355</v>
      </c>
      <c r="B43" s="11" t="s">
        <v>358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313</v>
      </c>
    </row>
    <row r="44" customFormat="false" ht="15" hidden="false" customHeight="false" outlineLevel="0" collapsed="false">
      <c r="A44" s="11" t="s">
        <v>355</v>
      </c>
      <c r="B44" s="11" t="s">
        <v>359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313</v>
      </c>
    </row>
    <row r="45" customFormat="false" ht="15" hidden="false" customHeight="false" outlineLevel="0" collapsed="false">
      <c r="A45" s="11" t="s">
        <v>355</v>
      </c>
      <c r="B45" s="11" t="s">
        <v>360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313</v>
      </c>
    </row>
    <row r="46" customFormat="false" ht="15" hidden="false" customHeight="false" outlineLevel="0" collapsed="false">
      <c r="A46" s="11" t="s">
        <v>311</v>
      </c>
      <c r="B46" s="11" t="s">
        <v>361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313</v>
      </c>
    </row>
    <row r="47" customFormat="false" ht="15" hidden="false" customHeight="false" outlineLevel="0" collapsed="false">
      <c r="A47" s="11" t="s">
        <v>362</v>
      </c>
      <c r="B47" s="11" t="s">
        <v>363</v>
      </c>
      <c r="C47" s="13" t="n">
        <v>1</v>
      </c>
      <c r="D47" s="13" t="s">
        <v>364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317</v>
      </c>
    </row>
    <row r="49" customFormat="false" ht="15" hidden="false" customHeight="false" outlineLevel="0" collapsed="false">
      <c r="B49" s="15" t="s">
        <v>365</v>
      </c>
      <c r="E49" s="19" t="n">
        <f aca="false">SUM(E5:E47)</f>
        <v>649301650</v>
      </c>
      <c r="F49" s="19"/>
    </row>
    <row r="50" customFormat="false" ht="15" hidden="false" customHeight="false" outlineLevel="0" collapsed="false">
      <c r="B50" s="15" t="s">
        <v>366</v>
      </c>
      <c r="E50" s="19"/>
      <c r="F50" s="19" t="n">
        <f aca="false">SUM(F5:F47)</f>
        <v>7287948350</v>
      </c>
    </row>
    <row r="51" customFormat="false" ht="15" hidden="false" customHeight="false" outlineLevel="0" collapsed="false">
      <c r="B51" s="15" t="s">
        <v>367</v>
      </c>
      <c r="E51" s="19"/>
      <c r="F51" s="19" t="n">
        <f aca="false">SUMIF(J5:J47,"Yes",F5:F47)</f>
        <v>5358000000</v>
      </c>
    </row>
    <row r="52" customFormat="false" ht="15" hidden="false" customHeight="false" outlineLevel="0" collapsed="false">
      <c r="B52" s="2" t="s">
        <v>368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369</v>
      </c>
    </row>
    <row r="2" customFormat="false" ht="15" hidden="false" customHeight="false" outlineLevel="0" collapsed="false">
      <c r="A2" s="2" t="s">
        <v>370</v>
      </c>
    </row>
    <row r="4" customFormat="false" ht="26.85" hidden="false" customHeight="false" outlineLevel="0" collapsed="false">
      <c r="A4" s="3" t="s">
        <v>371</v>
      </c>
      <c r="B4" s="3" t="s">
        <v>372</v>
      </c>
      <c r="C4" s="3" t="s">
        <v>373</v>
      </c>
      <c r="D4" s="3" t="s">
        <v>374</v>
      </c>
      <c r="E4" s="3" t="s">
        <v>375</v>
      </c>
      <c r="F4" s="3" t="s">
        <v>376</v>
      </c>
      <c r="G4" s="3" t="s">
        <v>377</v>
      </c>
      <c r="H4" s="3" t="s">
        <v>378</v>
      </c>
    </row>
    <row r="5" customFormat="false" ht="15" hidden="false" customHeight="false" outlineLevel="0" collapsed="false">
      <c r="A5" s="15" t="s">
        <v>379</v>
      </c>
      <c r="B5" s="26" t="n">
        <v>12080000</v>
      </c>
      <c r="C5" s="26" t="n">
        <v>159500</v>
      </c>
      <c r="D5" s="26" t="n">
        <v>2590000</v>
      </c>
      <c r="E5" s="26" t="n">
        <v>13420000</v>
      </c>
      <c r="F5" s="26" t="n">
        <v>221</v>
      </c>
      <c r="G5" s="26" t="n">
        <v>869</v>
      </c>
      <c r="H5" s="26" t="n">
        <v>194</v>
      </c>
    </row>
    <row r="6" customFormat="false" ht="15" hidden="false" customHeight="false" outlineLevel="0" collapsed="false">
      <c r="A6" s="15" t="s">
        <v>380</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381</v>
      </c>
      <c r="B7" s="27" t="n">
        <f aca="false">B5+B6</f>
        <v>39130000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382</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383</v>
      </c>
      <c r="B9" s="28" t="n">
        <f aca="false">B7-B8</f>
        <v>39130000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384</v>
      </c>
    </row>
    <row r="11" customFormat="false" ht="15" hidden="false" customHeight="false" outlineLevel="0" collapsed="false">
      <c r="A11" s="22" t="s">
        <v>385</v>
      </c>
    </row>
    <row r="12" customFormat="false" ht="26.85" hidden="false" customHeight="false" outlineLevel="0" collapsed="false">
      <c r="A12" s="3" t="s">
        <v>386</v>
      </c>
      <c r="B12" s="3" t="s">
        <v>372</v>
      </c>
      <c r="C12" s="3" t="s">
        <v>373</v>
      </c>
      <c r="D12" s="3" t="s">
        <v>374</v>
      </c>
      <c r="E12" s="3" t="s">
        <v>375</v>
      </c>
      <c r="F12" s="3" t="s">
        <v>376</v>
      </c>
      <c r="G12" s="3" t="s">
        <v>377</v>
      </c>
      <c r="H12" s="3" t="s">
        <v>378</v>
      </c>
      <c r="I12" s="3" t="s">
        <v>387</v>
      </c>
      <c r="J12" s="3" t="s">
        <v>388</v>
      </c>
      <c r="K12" s="3" t="s">
        <v>13</v>
      </c>
    </row>
    <row r="13" customFormat="false" ht="15" hidden="false" customHeight="false" outlineLevel="0" collapsed="false">
      <c r="A13" s="11" t="s">
        <v>389</v>
      </c>
      <c r="B13" s="29" t="n">
        <v>100000</v>
      </c>
      <c r="C13" s="29" t="n">
        <v>0</v>
      </c>
      <c r="D13" s="29" t="n">
        <v>0</v>
      </c>
      <c r="E13" s="29" t="n">
        <v>0</v>
      </c>
      <c r="F13" s="29" t="n">
        <v>0</v>
      </c>
      <c r="G13" s="29" t="n">
        <v>0</v>
      </c>
      <c r="H13" s="29" t="n">
        <v>0</v>
      </c>
      <c r="I13" s="10" t="s">
        <v>313</v>
      </c>
      <c r="J13" s="10" t="s">
        <v>313</v>
      </c>
      <c r="K13" s="14" t="s">
        <v>390</v>
      </c>
    </row>
    <row r="14" customFormat="false" ht="15" hidden="false" customHeight="false" outlineLevel="0" collapsed="false">
      <c r="A14" s="11" t="s">
        <v>391</v>
      </c>
      <c r="B14" s="29" t="n">
        <v>1600000</v>
      </c>
      <c r="C14" s="29" t="n">
        <v>0</v>
      </c>
      <c r="D14" s="29" t="n">
        <v>0</v>
      </c>
      <c r="E14" s="29" t="n">
        <v>0</v>
      </c>
      <c r="F14" s="29" t="n">
        <v>0</v>
      </c>
      <c r="G14" s="29" t="n">
        <v>0</v>
      </c>
      <c r="H14" s="29" t="n">
        <v>0</v>
      </c>
      <c r="I14" s="10" t="s">
        <v>313</v>
      </c>
      <c r="J14" s="10" t="s">
        <v>313</v>
      </c>
      <c r="K14" s="14" t="s">
        <v>392</v>
      </c>
    </row>
    <row r="15" customFormat="false" ht="15" hidden="false" customHeight="false" outlineLevel="0" collapsed="false">
      <c r="A15" s="11" t="s">
        <v>393</v>
      </c>
      <c r="B15" s="29" t="n">
        <v>1600000</v>
      </c>
      <c r="C15" s="29" t="n">
        <v>0</v>
      </c>
      <c r="D15" s="29" t="n">
        <v>0</v>
      </c>
      <c r="E15" s="29" t="n">
        <v>0</v>
      </c>
      <c r="F15" s="29" t="n">
        <v>0</v>
      </c>
      <c r="G15" s="29" t="n">
        <v>0</v>
      </c>
      <c r="H15" s="29" t="n">
        <v>0</v>
      </c>
      <c r="I15" s="10" t="s">
        <v>313</v>
      </c>
      <c r="J15" s="10" t="s">
        <v>317</v>
      </c>
      <c r="K15" s="14" t="s">
        <v>392</v>
      </c>
    </row>
    <row r="16" customFormat="false" ht="15" hidden="false" customHeight="false" outlineLevel="0" collapsed="false">
      <c r="A16" s="11" t="s">
        <v>394</v>
      </c>
      <c r="B16" s="29" t="n">
        <v>1600000</v>
      </c>
      <c r="C16" s="29" t="n">
        <v>0</v>
      </c>
      <c r="D16" s="29" t="n">
        <v>0</v>
      </c>
      <c r="E16" s="29" t="n">
        <v>0</v>
      </c>
      <c r="F16" s="29" t="n">
        <v>0</v>
      </c>
      <c r="G16" s="29" t="n">
        <v>0</v>
      </c>
      <c r="H16" s="29" t="n">
        <v>0</v>
      </c>
      <c r="I16" s="10" t="s">
        <v>313</v>
      </c>
      <c r="J16" s="10" t="s">
        <v>317</v>
      </c>
      <c r="K16" s="14" t="s">
        <v>392</v>
      </c>
    </row>
    <row r="17" customFormat="false" ht="15" hidden="false" customHeight="false" outlineLevel="0" collapsed="false">
      <c r="A17" s="11" t="s">
        <v>395</v>
      </c>
      <c r="B17" s="29" t="n">
        <v>1600000</v>
      </c>
      <c r="C17" s="29" t="n">
        <v>0</v>
      </c>
      <c r="D17" s="29" t="n">
        <v>0</v>
      </c>
      <c r="E17" s="29" t="n">
        <v>0</v>
      </c>
      <c r="F17" s="29" t="n">
        <v>0</v>
      </c>
      <c r="G17" s="29" t="n">
        <v>0</v>
      </c>
      <c r="H17" s="29" t="n">
        <v>0</v>
      </c>
      <c r="I17" s="10" t="s">
        <v>313</v>
      </c>
      <c r="J17" s="10" t="s">
        <v>317</v>
      </c>
      <c r="K17" s="14" t="s">
        <v>392</v>
      </c>
    </row>
    <row r="18" customFormat="false" ht="15" hidden="false" customHeight="false" outlineLevel="0" collapsed="false">
      <c r="A18" s="11" t="s">
        <v>396</v>
      </c>
      <c r="B18" s="29" t="n">
        <v>1600000</v>
      </c>
      <c r="C18" s="29" t="n">
        <v>0</v>
      </c>
      <c r="D18" s="29" t="n">
        <v>0</v>
      </c>
      <c r="E18" s="29" t="n">
        <v>0</v>
      </c>
      <c r="F18" s="29" t="n">
        <v>0</v>
      </c>
      <c r="G18" s="29" t="n">
        <v>0</v>
      </c>
      <c r="H18" s="29" t="n">
        <v>0</v>
      </c>
      <c r="I18" s="10" t="s">
        <v>313</v>
      </c>
      <c r="J18" s="10" t="s">
        <v>317</v>
      </c>
      <c r="K18" s="14" t="s">
        <v>392</v>
      </c>
    </row>
    <row r="19" customFormat="false" ht="15" hidden="false" customHeight="false" outlineLevel="0" collapsed="false">
      <c r="A19" s="11" t="s">
        <v>397</v>
      </c>
      <c r="B19" s="29" t="n">
        <v>1600000</v>
      </c>
      <c r="C19" s="29" t="n">
        <v>0</v>
      </c>
      <c r="D19" s="29" t="n">
        <v>0</v>
      </c>
      <c r="E19" s="29" t="n">
        <v>0</v>
      </c>
      <c r="F19" s="29" t="n">
        <v>0</v>
      </c>
      <c r="G19" s="29" t="n">
        <v>0</v>
      </c>
      <c r="H19" s="29" t="n">
        <v>0</v>
      </c>
      <c r="I19" s="10" t="s">
        <v>313</v>
      </c>
      <c r="J19" s="10" t="s">
        <v>317</v>
      </c>
      <c r="K19" s="14" t="s">
        <v>392</v>
      </c>
    </row>
    <row r="20" customFormat="false" ht="15" hidden="false" customHeight="false" outlineLevel="0" collapsed="false">
      <c r="A20" s="11" t="s">
        <v>398</v>
      </c>
      <c r="B20" s="29" t="n">
        <v>1600000</v>
      </c>
      <c r="C20" s="29" t="n">
        <v>0</v>
      </c>
      <c r="D20" s="29" t="n">
        <v>0</v>
      </c>
      <c r="E20" s="29" t="n">
        <v>0</v>
      </c>
      <c r="F20" s="29" t="n">
        <v>0</v>
      </c>
      <c r="G20" s="29" t="n">
        <v>0</v>
      </c>
      <c r="H20" s="29" t="n">
        <v>0</v>
      </c>
      <c r="I20" s="10" t="s">
        <v>313</v>
      </c>
      <c r="J20" s="10" t="s">
        <v>317</v>
      </c>
      <c r="K20" s="14" t="s">
        <v>392</v>
      </c>
    </row>
    <row r="21" customFormat="false" ht="15" hidden="false" customHeight="false" outlineLevel="0" collapsed="false">
      <c r="A21" s="11" t="s">
        <v>399</v>
      </c>
      <c r="B21" s="29" t="n">
        <v>100000</v>
      </c>
      <c r="C21" s="29" t="n">
        <v>0</v>
      </c>
      <c r="D21" s="29" t="n">
        <v>0</v>
      </c>
      <c r="E21" s="29" t="n">
        <v>0</v>
      </c>
      <c r="F21" s="29" t="n">
        <v>0</v>
      </c>
      <c r="G21" s="29" t="n">
        <v>0</v>
      </c>
      <c r="H21" s="29" t="n">
        <v>0</v>
      </c>
      <c r="I21" s="10" t="s">
        <v>313</v>
      </c>
      <c r="J21" s="10" t="s">
        <v>317</v>
      </c>
      <c r="K21" s="14"/>
    </row>
    <row r="22" customFormat="false" ht="15" hidden="false" customHeight="false" outlineLevel="0" collapsed="false">
      <c r="A22" s="11" t="s">
        <v>400</v>
      </c>
      <c r="B22" s="29" t="n">
        <v>200000</v>
      </c>
      <c r="C22" s="29" t="n">
        <v>0</v>
      </c>
      <c r="D22" s="29" t="n">
        <v>0</v>
      </c>
      <c r="E22" s="29" t="n">
        <v>0</v>
      </c>
      <c r="F22" s="29" t="n">
        <v>0</v>
      </c>
      <c r="G22" s="29" t="n">
        <v>0</v>
      </c>
      <c r="H22" s="29" t="n">
        <v>0</v>
      </c>
      <c r="I22" s="10" t="s">
        <v>313</v>
      </c>
      <c r="J22" s="10" t="s">
        <v>317</v>
      </c>
      <c r="K22" s="14"/>
    </row>
    <row r="23" customFormat="false" ht="15" hidden="false" customHeight="false" outlineLevel="0" collapsed="false">
      <c r="A23" s="11" t="s">
        <v>401</v>
      </c>
      <c r="B23" s="29" t="n">
        <v>0</v>
      </c>
      <c r="C23" s="29" t="n">
        <v>0</v>
      </c>
      <c r="D23" s="29" t="n">
        <v>0</v>
      </c>
      <c r="E23" s="29" t="n">
        <v>0</v>
      </c>
      <c r="F23" s="29" t="n">
        <v>0</v>
      </c>
      <c r="G23" s="29" t="n">
        <v>100</v>
      </c>
      <c r="H23" s="29" t="n">
        <v>0</v>
      </c>
      <c r="I23" s="10" t="s">
        <v>313</v>
      </c>
      <c r="J23" s="10" t="s">
        <v>317</v>
      </c>
      <c r="K23" s="14" t="s">
        <v>402</v>
      </c>
    </row>
    <row r="24" customFormat="false" ht="15" hidden="false" customHeight="false" outlineLevel="0" collapsed="false">
      <c r="A24" s="11" t="s">
        <v>403</v>
      </c>
      <c r="B24" s="29" t="n">
        <v>150000</v>
      </c>
      <c r="C24" s="29" t="n">
        <v>0</v>
      </c>
      <c r="D24" s="29" t="n">
        <v>0</v>
      </c>
      <c r="E24" s="29" t="n">
        <v>0</v>
      </c>
      <c r="F24" s="29" t="n">
        <v>0</v>
      </c>
      <c r="G24" s="29" t="n">
        <v>0</v>
      </c>
      <c r="H24" s="29" t="n">
        <v>15</v>
      </c>
      <c r="I24" s="10" t="s">
        <v>313</v>
      </c>
      <c r="J24" s="10" t="s">
        <v>313</v>
      </c>
      <c r="K24" s="14"/>
    </row>
    <row r="25" customFormat="false" ht="15" hidden="false" customHeight="false" outlineLevel="0" collapsed="false">
      <c r="A25" s="11" t="s">
        <v>404</v>
      </c>
      <c r="B25" s="29" t="n">
        <v>150000</v>
      </c>
      <c r="C25" s="29" t="n">
        <v>0</v>
      </c>
      <c r="D25" s="29" t="n">
        <v>0</v>
      </c>
      <c r="E25" s="29" t="n">
        <v>0</v>
      </c>
      <c r="F25" s="29" t="n">
        <v>0</v>
      </c>
      <c r="G25" s="29" t="n">
        <v>0</v>
      </c>
      <c r="H25" s="29" t="n">
        <v>20</v>
      </c>
      <c r="I25" s="10" t="s">
        <v>313</v>
      </c>
      <c r="J25" s="10" t="s">
        <v>313</v>
      </c>
      <c r="K25" s="14"/>
    </row>
    <row r="26" customFormat="false" ht="15" hidden="false" customHeight="false" outlineLevel="0" collapsed="false">
      <c r="A26" s="11" t="s">
        <v>405</v>
      </c>
      <c r="B26" s="29" t="n">
        <v>200000</v>
      </c>
      <c r="C26" s="29" t="n">
        <v>0</v>
      </c>
      <c r="D26" s="29" t="n">
        <v>0</v>
      </c>
      <c r="E26" s="29" t="n">
        <v>0</v>
      </c>
      <c r="F26" s="29" t="n">
        <v>0</v>
      </c>
      <c r="G26" s="29" t="n">
        <v>0</v>
      </c>
      <c r="H26" s="29" t="n">
        <v>25</v>
      </c>
      <c r="I26" s="10" t="s">
        <v>313</v>
      </c>
      <c r="J26" s="10" t="s">
        <v>313</v>
      </c>
      <c r="K26" s="14"/>
    </row>
    <row r="27" customFormat="false" ht="15" hidden="false" customHeight="false" outlineLevel="0" collapsed="false">
      <c r="A27" s="11" t="s">
        <v>406</v>
      </c>
      <c r="B27" s="29" t="n">
        <v>250000</v>
      </c>
      <c r="C27" s="29" t="n">
        <v>0</v>
      </c>
      <c r="D27" s="29" t="n">
        <v>0</v>
      </c>
      <c r="E27" s="29" t="n">
        <v>0</v>
      </c>
      <c r="F27" s="29" t="n">
        <v>0</v>
      </c>
      <c r="G27" s="29" t="n">
        <v>0</v>
      </c>
      <c r="H27" s="29" t="n">
        <v>30</v>
      </c>
      <c r="I27" s="10" t="s">
        <v>313</v>
      </c>
      <c r="J27" s="10" t="s">
        <v>313</v>
      </c>
      <c r="K27" s="14"/>
    </row>
    <row r="28" customFormat="false" ht="15" hidden="false" customHeight="false" outlineLevel="0" collapsed="false">
      <c r="A28" s="11" t="s">
        <v>407</v>
      </c>
      <c r="B28" s="29" t="n">
        <v>300000</v>
      </c>
      <c r="C28" s="29" t="n">
        <v>0</v>
      </c>
      <c r="D28" s="29" t="n">
        <v>0</v>
      </c>
      <c r="E28" s="29" t="n">
        <v>0</v>
      </c>
      <c r="F28" s="29" t="n">
        <v>0</v>
      </c>
      <c r="G28" s="29" t="n">
        <v>0</v>
      </c>
      <c r="H28" s="29" t="n">
        <v>40</v>
      </c>
      <c r="I28" s="10" t="s">
        <v>313</v>
      </c>
      <c r="J28" s="10" t="s">
        <v>317</v>
      </c>
      <c r="K28" s="14"/>
    </row>
    <row r="29" customFormat="false" ht="15" hidden="false" customHeight="false" outlineLevel="0" collapsed="false">
      <c r="A29" s="11" t="s">
        <v>408</v>
      </c>
      <c r="B29" s="29" t="n">
        <v>350000</v>
      </c>
      <c r="C29" s="29" t="n">
        <v>0</v>
      </c>
      <c r="D29" s="29" t="n">
        <v>0</v>
      </c>
      <c r="E29" s="29" t="n">
        <v>0</v>
      </c>
      <c r="F29" s="29" t="n">
        <v>0</v>
      </c>
      <c r="G29" s="29" t="n">
        <v>0</v>
      </c>
      <c r="H29" s="29" t="n">
        <v>45</v>
      </c>
      <c r="I29" s="10" t="s">
        <v>313</v>
      </c>
      <c r="J29" s="10" t="s">
        <v>317</v>
      </c>
      <c r="K29" s="14"/>
    </row>
    <row r="30" customFormat="false" ht="15" hidden="false" customHeight="false" outlineLevel="0" collapsed="false">
      <c r="A30" s="11" t="s">
        <v>409</v>
      </c>
      <c r="B30" s="29" t="n">
        <v>0</v>
      </c>
      <c r="C30" s="29" t="n">
        <v>0</v>
      </c>
      <c r="D30" s="29" t="n">
        <v>0</v>
      </c>
      <c r="E30" s="29" t="n">
        <v>0</v>
      </c>
      <c r="F30" s="29" t="n">
        <v>0</v>
      </c>
      <c r="G30" s="29" t="n">
        <v>0</v>
      </c>
      <c r="H30" s="29" t="n">
        <v>0</v>
      </c>
      <c r="I30" s="10" t="s">
        <v>313</v>
      </c>
      <c r="J30" s="10" t="s">
        <v>317</v>
      </c>
      <c r="K30" s="14" t="s">
        <v>410</v>
      </c>
    </row>
    <row r="31" customFormat="false" ht="15" hidden="false" customHeight="false" outlineLevel="0" collapsed="false">
      <c r="A31" s="11" t="s">
        <v>411</v>
      </c>
      <c r="B31" s="29" t="n">
        <v>0</v>
      </c>
      <c r="C31" s="29" t="n">
        <v>0</v>
      </c>
      <c r="D31" s="29" t="n">
        <v>0</v>
      </c>
      <c r="E31" s="29" t="n">
        <v>0</v>
      </c>
      <c r="F31" s="29" t="n">
        <v>0</v>
      </c>
      <c r="G31" s="29" t="n">
        <v>0</v>
      </c>
      <c r="H31" s="29" t="n">
        <v>0</v>
      </c>
      <c r="I31" s="10" t="s">
        <v>313</v>
      </c>
      <c r="J31" s="10" t="s">
        <v>317</v>
      </c>
      <c r="K31" s="14" t="s">
        <v>410</v>
      </c>
    </row>
    <row r="32" customFormat="false" ht="15" hidden="false" customHeight="false" outlineLevel="0" collapsed="false">
      <c r="A32" s="11" t="s">
        <v>412</v>
      </c>
      <c r="B32" s="29" t="n">
        <v>0</v>
      </c>
      <c r="C32" s="29" t="n">
        <v>0</v>
      </c>
      <c r="D32" s="29" t="n">
        <v>0</v>
      </c>
      <c r="E32" s="29" t="n">
        <v>0</v>
      </c>
      <c r="F32" s="29" t="n">
        <v>0</v>
      </c>
      <c r="G32" s="29" t="n">
        <v>0</v>
      </c>
      <c r="H32" s="29" t="n">
        <v>0</v>
      </c>
      <c r="I32" s="10" t="s">
        <v>313</v>
      </c>
      <c r="J32" s="10" t="s">
        <v>317</v>
      </c>
      <c r="K32" s="14" t="s">
        <v>410</v>
      </c>
    </row>
    <row r="33" customFormat="false" ht="15" hidden="false" customHeight="false" outlineLevel="0" collapsed="false">
      <c r="A33" s="11" t="s">
        <v>413</v>
      </c>
      <c r="B33" s="29" t="n">
        <v>0</v>
      </c>
      <c r="C33" s="29" t="n">
        <v>0</v>
      </c>
      <c r="D33" s="29" t="n">
        <v>0</v>
      </c>
      <c r="E33" s="29" t="n">
        <v>0</v>
      </c>
      <c r="F33" s="29" t="n">
        <v>0</v>
      </c>
      <c r="G33" s="29" t="n">
        <v>0</v>
      </c>
      <c r="H33" s="29" t="n">
        <v>800</v>
      </c>
      <c r="I33" s="10" t="s">
        <v>313</v>
      </c>
      <c r="J33" s="10" t="s">
        <v>317</v>
      </c>
      <c r="K33" s="14"/>
    </row>
    <row r="34" customFormat="false" ht="15" hidden="false" customHeight="false" outlineLevel="0" collapsed="false">
      <c r="A34" s="11" t="s">
        <v>414</v>
      </c>
      <c r="B34" s="29" t="n">
        <v>10000000</v>
      </c>
      <c r="C34" s="29" t="n">
        <v>0</v>
      </c>
      <c r="D34" s="29" t="n">
        <v>0</v>
      </c>
      <c r="E34" s="29" t="n">
        <v>0</v>
      </c>
      <c r="F34" s="29" t="n">
        <v>0</v>
      </c>
      <c r="G34" s="29" t="n">
        <v>0</v>
      </c>
      <c r="H34" s="29" t="n">
        <v>0</v>
      </c>
      <c r="I34" s="10" t="s">
        <v>313</v>
      </c>
      <c r="J34" s="10" t="s">
        <v>317</v>
      </c>
      <c r="K34" s="14"/>
    </row>
    <row r="35" customFormat="false" ht="15" hidden="false" customHeight="false" outlineLevel="0" collapsed="false">
      <c r="A35" s="11" t="s">
        <v>415</v>
      </c>
      <c r="B35" s="29" t="n">
        <v>500000</v>
      </c>
      <c r="C35" s="29" t="n">
        <v>0</v>
      </c>
      <c r="D35" s="29" t="n">
        <v>0</v>
      </c>
      <c r="E35" s="29" t="n">
        <v>0</v>
      </c>
      <c r="F35" s="29" t="n">
        <v>0</v>
      </c>
      <c r="G35" s="29" t="n">
        <v>0</v>
      </c>
      <c r="H35" s="29" t="n">
        <v>0</v>
      </c>
      <c r="I35" s="10" t="s">
        <v>313</v>
      </c>
      <c r="J35" s="10" t="s">
        <v>317</v>
      </c>
      <c r="K35" s="14"/>
    </row>
    <row r="36" customFormat="false" ht="15" hidden="false" customHeight="false" outlineLevel="0" collapsed="false">
      <c r="A36" s="11" t="s">
        <v>416</v>
      </c>
      <c r="B36" s="29" t="n">
        <v>0</v>
      </c>
      <c r="C36" s="29" t="n">
        <v>3000000</v>
      </c>
      <c r="D36" s="29" t="n">
        <v>3000000</v>
      </c>
      <c r="E36" s="29" t="n">
        <v>2600000</v>
      </c>
      <c r="F36" s="29" t="n">
        <v>0</v>
      </c>
      <c r="G36" s="29" t="n">
        <v>0</v>
      </c>
      <c r="H36" s="29" t="n">
        <v>0</v>
      </c>
      <c r="I36" s="10" t="s">
        <v>313</v>
      </c>
      <c r="J36" s="10" t="s">
        <v>317</v>
      </c>
      <c r="K36" s="14" t="s">
        <v>417</v>
      </c>
    </row>
    <row r="37" customFormat="false" ht="15" hidden="false" customHeight="false" outlineLevel="0" collapsed="false">
      <c r="A37" s="11" t="s">
        <v>418</v>
      </c>
      <c r="B37" s="29" t="n">
        <v>0</v>
      </c>
      <c r="C37" s="29" t="n">
        <v>0</v>
      </c>
      <c r="D37" s="29" t="n">
        <v>0</v>
      </c>
      <c r="E37" s="29" t="n">
        <v>0</v>
      </c>
      <c r="F37" s="29" t="n">
        <v>0</v>
      </c>
      <c r="G37" s="29" t="n">
        <v>0</v>
      </c>
      <c r="H37" s="29" t="n">
        <v>0</v>
      </c>
      <c r="I37" s="10" t="s">
        <v>313</v>
      </c>
      <c r="J37" s="10" t="s">
        <v>317</v>
      </c>
      <c r="K37" s="14" t="s">
        <v>410</v>
      </c>
    </row>
    <row r="38" customFormat="false" ht="15" hidden="false" customHeight="false" outlineLevel="0" collapsed="false">
      <c r="A38" s="11" t="s">
        <v>419</v>
      </c>
      <c r="B38" s="29" t="n">
        <v>0</v>
      </c>
      <c r="C38" s="29" t="n">
        <v>950000</v>
      </c>
      <c r="D38" s="29" t="n">
        <v>0</v>
      </c>
      <c r="E38" s="29" t="n">
        <v>1900000</v>
      </c>
      <c r="F38" s="29" t="n">
        <v>0</v>
      </c>
      <c r="G38" s="29" t="n">
        <v>0</v>
      </c>
      <c r="H38" s="29" t="n">
        <v>0</v>
      </c>
      <c r="I38" s="10" t="s">
        <v>313</v>
      </c>
      <c r="J38" s="10" t="s">
        <v>313</v>
      </c>
      <c r="K38" s="14" t="s">
        <v>420</v>
      </c>
    </row>
    <row r="39" customFormat="false" ht="15" hidden="false" customHeight="false" outlineLevel="0" collapsed="false">
      <c r="A39" s="11" t="s">
        <v>421</v>
      </c>
      <c r="B39" s="29" t="n">
        <v>0</v>
      </c>
      <c r="C39" s="29" t="n">
        <v>0</v>
      </c>
      <c r="D39" s="29" t="n">
        <v>1400000</v>
      </c>
      <c r="E39" s="29" t="n">
        <v>1900000</v>
      </c>
      <c r="F39" s="29" t="n">
        <v>0</v>
      </c>
      <c r="G39" s="29" t="n">
        <v>0</v>
      </c>
      <c r="H39" s="29" t="n">
        <v>0</v>
      </c>
      <c r="I39" s="10" t="s">
        <v>317</v>
      </c>
      <c r="J39" s="10" t="s">
        <v>317</v>
      </c>
      <c r="K39" s="14"/>
    </row>
    <row r="40" customFormat="false" ht="15" hidden="false" customHeight="false" outlineLevel="0" collapsed="false">
      <c r="A40" s="11" t="s">
        <v>422</v>
      </c>
      <c r="B40" s="29" t="n">
        <v>0</v>
      </c>
      <c r="C40" s="29" t="n">
        <v>200000</v>
      </c>
      <c r="D40" s="29" t="n">
        <v>0</v>
      </c>
      <c r="E40" s="29" t="n">
        <v>0</v>
      </c>
      <c r="F40" s="29" t="n">
        <v>0</v>
      </c>
      <c r="G40" s="29" t="n">
        <v>0</v>
      </c>
      <c r="H40" s="29" t="n">
        <v>0</v>
      </c>
      <c r="I40" s="10" t="s">
        <v>313</v>
      </c>
      <c r="J40" s="10" t="s">
        <v>317</v>
      </c>
      <c r="K40" s="14" t="s">
        <v>423</v>
      </c>
    </row>
    <row r="41" customFormat="false" ht="15" hidden="false" customHeight="false" outlineLevel="0" collapsed="false">
      <c r="A41" s="11" t="s">
        <v>424</v>
      </c>
      <c r="B41" s="29" t="n">
        <v>0</v>
      </c>
      <c r="C41" s="29" t="n">
        <v>0</v>
      </c>
      <c r="D41" s="29" t="n">
        <v>750000</v>
      </c>
      <c r="E41" s="29" t="n">
        <v>750000</v>
      </c>
      <c r="F41" s="29" t="n">
        <v>0</v>
      </c>
      <c r="G41" s="29" t="n">
        <v>0</v>
      </c>
      <c r="H41" s="29" t="n">
        <v>0</v>
      </c>
      <c r="I41" s="10" t="s">
        <v>313</v>
      </c>
      <c r="J41" s="10" t="s">
        <v>317</v>
      </c>
      <c r="K41" s="14" t="s">
        <v>425</v>
      </c>
    </row>
    <row r="42" customFormat="false" ht="15" hidden="false" customHeight="false" outlineLevel="0" collapsed="false">
      <c r="A42" s="11" t="s">
        <v>426</v>
      </c>
      <c r="B42" s="29" t="n">
        <v>0</v>
      </c>
      <c r="C42" s="29" t="n">
        <v>0</v>
      </c>
      <c r="D42" s="29" t="n">
        <v>0</v>
      </c>
      <c r="E42" s="29" t="n">
        <v>0</v>
      </c>
      <c r="F42" s="29" t="n">
        <v>0</v>
      </c>
      <c r="G42" s="29" t="n">
        <v>0</v>
      </c>
      <c r="H42" s="29" t="n">
        <v>500</v>
      </c>
      <c r="I42" s="10" t="s">
        <v>317</v>
      </c>
      <c r="J42" s="10" t="s">
        <v>317</v>
      </c>
      <c r="K42" s="14" t="s">
        <v>427</v>
      </c>
    </row>
    <row r="43" customFormat="false" ht="15" hidden="false" customHeight="false" outlineLevel="0" collapsed="false">
      <c r="A43" s="11" t="s">
        <v>428</v>
      </c>
      <c r="B43" s="29" t="n">
        <v>0</v>
      </c>
      <c r="C43" s="29" t="n">
        <v>0</v>
      </c>
      <c r="D43" s="29" t="n">
        <v>0</v>
      </c>
      <c r="E43" s="29" t="n">
        <v>0</v>
      </c>
      <c r="F43" s="29" t="n">
        <v>0</v>
      </c>
      <c r="G43" s="29" t="n">
        <v>0</v>
      </c>
      <c r="H43" s="29" t="n">
        <v>500</v>
      </c>
      <c r="I43" s="10" t="s">
        <v>317</v>
      </c>
      <c r="J43" s="10" t="s">
        <v>317</v>
      </c>
      <c r="K43" s="14" t="s">
        <v>429</v>
      </c>
    </row>
    <row r="44" customFormat="false" ht="15" hidden="false" customHeight="false" outlineLevel="0" collapsed="false">
      <c r="A44" s="11" t="s">
        <v>430</v>
      </c>
      <c r="B44" s="29" t="n">
        <v>0</v>
      </c>
      <c r="C44" s="29" t="n">
        <v>0</v>
      </c>
      <c r="D44" s="29" t="n">
        <v>0</v>
      </c>
      <c r="E44" s="29" t="n">
        <v>0</v>
      </c>
      <c r="F44" s="29" t="n">
        <v>0</v>
      </c>
      <c r="G44" s="29" t="n">
        <v>0</v>
      </c>
      <c r="H44" s="29" t="n">
        <v>1000</v>
      </c>
      <c r="I44" s="10" t="s">
        <v>317</v>
      </c>
      <c r="J44" s="10" t="s">
        <v>317</v>
      </c>
      <c r="K44" s="14" t="s">
        <v>429</v>
      </c>
    </row>
    <row r="45" customFormat="false" ht="15" hidden="false" customHeight="false" outlineLevel="0" collapsed="false">
      <c r="A45" s="11" t="s">
        <v>431</v>
      </c>
      <c r="B45" s="29" t="n">
        <v>0</v>
      </c>
      <c r="C45" s="29" t="n">
        <v>0</v>
      </c>
      <c r="D45" s="29" t="n">
        <v>0</v>
      </c>
      <c r="E45" s="29" t="n">
        <v>7280000</v>
      </c>
      <c r="F45" s="29" t="n">
        <v>0</v>
      </c>
      <c r="G45" s="29" t="n">
        <v>0</v>
      </c>
      <c r="H45" s="29" t="n">
        <v>0</v>
      </c>
      <c r="I45" s="10" t="s">
        <v>317</v>
      </c>
      <c r="J45" s="10" t="s">
        <v>317</v>
      </c>
      <c r="K45" s="14" t="s">
        <v>432</v>
      </c>
    </row>
    <row r="46" customFormat="false" ht="15" hidden="false" customHeight="false" outlineLevel="0" collapsed="false">
      <c r="A46" s="11" t="s">
        <v>433</v>
      </c>
      <c r="B46" s="29" t="n">
        <v>0</v>
      </c>
      <c r="C46" s="29" t="n">
        <v>0</v>
      </c>
      <c r="D46" s="29" t="n">
        <v>0</v>
      </c>
      <c r="E46" s="29" t="n">
        <v>0</v>
      </c>
      <c r="F46" s="29" t="n">
        <v>0</v>
      </c>
      <c r="G46" s="29" t="n">
        <v>0</v>
      </c>
      <c r="H46" s="29" t="n">
        <v>0</v>
      </c>
      <c r="I46" s="10" t="s">
        <v>313</v>
      </c>
      <c r="J46" s="10" t="s">
        <v>317</v>
      </c>
      <c r="K46" s="14" t="s">
        <v>434</v>
      </c>
    </row>
    <row r="47" customFormat="false" ht="15" hidden="false" customHeight="false" outlineLevel="0" collapsed="false">
      <c r="A47" s="11" t="s">
        <v>435</v>
      </c>
      <c r="B47" s="29" t="n">
        <v>900000</v>
      </c>
      <c r="C47" s="29" t="n">
        <v>0</v>
      </c>
      <c r="D47" s="29" t="n">
        <v>0</v>
      </c>
      <c r="E47" s="29" t="n">
        <v>0</v>
      </c>
      <c r="F47" s="29" t="n">
        <v>0</v>
      </c>
      <c r="G47" s="29" t="n">
        <v>0</v>
      </c>
      <c r="H47" s="29" t="n">
        <v>0</v>
      </c>
      <c r="I47" s="10" t="s">
        <v>317</v>
      </c>
      <c r="J47" s="10" t="s">
        <v>317</v>
      </c>
      <c r="K47" s="14" t="s">
        <v>436</v>
      </c>
    </row>
    <row r="48" customFormat="false" ht="15" hidden="false" customHeight="false" outlineLevel="0" collapsed="false">
      <c r="A48" s="11" t="s">
        <v>437</v>
      </c>
      <c r="B48" s="29" t="n">
        <v>0</v>
      </c>
      <c r="C48" s="29" t="n">
        <v>0</v>
      </c>
      <c r="D48" s="29" t="n">
        <v>0</v>
      </c>
      <c r="E48" s="29" t="n">
        <v>0</v>
      </c>
      <c r="F48" s="29" t="n">
        <v>0</v>
      </c>
      <c r="G48" s="29" t="n">
        <v>30</v>
      </c>
      <c r="H48" s="29" t="n">
        <v>90</v>
      </c>
      <c r="I48" s="10" t="s">
        <v>317</v>
      </c>
      <c r="J48" s="10" t="s">
        <v>317</v>
      </c>
      <c r="K48" s="14" t="s">
        <v>438</v>
      </c>
    </row>
    <row r="49" customFormat="false" ht="15" hidden="false" customHeight="false" outlineLevel="0" collapsed="false">
      <c r="A49" s="11" t="s">
        <v>439</v>
      </c>
      <c r="B49" s="29" t="s">
        <v>391</v>
      </c>
      <c r="C49" s="29" t="s">
        <v>419</v>
      </c>
      <c r="D49" s="29" t="s">
        <v>389</v>
      </c>
      <c r="E49" s="29" t="n">
        <v>3300000</v>
      </c>
      <c r="F49" s="29" t="n">
        <v>0</v>
      </c>
      <c r="G49" s="29" t="n">
        <v>0</v>
      </c>
      <c r="H49" s="29" t="n">
        <v>0</v>
      </c>
      <c r="I49" s="10" t="n">
        <v>0</v>
      </c>
      <c r="J49" s="10" t="s">
        <v>313</v>
      </c>
      <c r="K49" s="14" t="n">
        <v>0</v>
      </c>
    </row>
    <row r="50" customFormat="false" ht="15" hidden="false" customHeight="false" outlineLevel="0" collapsed="false">
      <c r="A50" s="11" t="s">
        <v>440</v>
      </c>
      <c r="B50" s="29" t="n">
        <v>3300000</v>
      </c>
      <c r="C50" s="29" t="n">
        <v>0</v>
      </c>
      <c r="D50" s="29" t="n">
        <v>0</v>
      </c>
      <c r="E50" s="29" t="n">
        <v>0</v>
      </c>
      <c r="F50" s="29" t="n">
        <v>0</v>
      </c>
      <c r="G50" s="29" t="n">
        <v>0</v>
      </c>
      <c r="H50" s="29" t="n">
        <v>0</v>
      </c>
      <c r="I50" s="10" t="s">
        <v>313</v>
      </c>
      <c r="J50" s="10" t="s">
        <v>313</v>
      </c>
      <c r="K50" s="14" t="s">
        <v>441</v>
      </c>
    </row>
    <row r="51" customFormat="false" ht="15" hidden="false" customHeight="false" outlineLevel="0" collapsed="false">
      <c r="A51" s="11" t="s">
        <v>442</v>
      </c>
      <c r="B51" s="29" t="n">
        <v>0</v>
      </c>
      <c r="C51" s="29" t="n">
        <v>250000</v>
      </c>
      <c r="D51" s="29" t="n">
        <v>0</v>
      </c>
      <c r="E51" s="29" t="n">
        <v>0</v>
      </c>
      <c r="F51" s="29" t="n">
        <v>0</v>
      </c>
      <c r="G51" s="29" t="n">
        <v>0</v>
      </c>
      <c r="H51" s="29" t="n">
        <v>0</v>
      </c>
      <c r="I51" s="10" t="s">
        <v>313</v>
      </c>
      <c r="J51" s="10" t="s">
        <v>317</v>
      </c>
      <c r="K51" s="14" t="s">
        <v>443</v>
      </c>
    </row>
    <row r="52" customFormat="false" ht="15" hidden="false" customHeight="false" outlineLevel="0" collapsed="false">
      <c r="A52" s="11" t="s">
        <v>444</v>
      </c>
      <c r="B52" s="29" t="n">
        <v>0</v>
      </c>
      <c r="C52" s="29" t="n">
        <v>0</v>
      </c>
      <c r="D52" s="29" t="n">
        <v>0</v>
      </c>
      <c r="E52" s="29" t="n">
        <v>0</v>
      </c>
      <c r="F52" s="29" t="n">
        <v>0</v>
      </c>
      <c r="G52" s="29" t="n">
        <v>0</v>
      </c>
      <c r="H52" s="29" t="n">
        <v>0</v>
      </c>
      <c r="I52" s="10" t="s">
        <v>313</v>
      </c>
      <c r="J52" s="10" t="s">
        <v>317</v>
      </c>
      <c r="K52" s="14" t="s">
        <v>445</v>
      </c>
    </row>
    <row r="53" customFormat="false" ht="15" hidden="false" customHeight="false" outlineLevel="0" collapsed="false">
      <c r="A53" s="11" t="s">
        <v>446</v>
      </c>
      <c r="B53" s="29" t="n">
        <v>0</v>
      </c>
      <c r="C53" s="29" t="n">
        <v>0</v>
      </c>
      <c r="D53" s="29" t="n">
        <v>136000</v>
      </c>
      <c r="E53" s="29" t="n">
        <v>136000</v>
      </c>
      <c r="F53" s="29" t="n">
        <v>0</v>
      </c>
      <c r="G53" s="29" t="n">
        <v>0</v>
      </c>
      <c r="H53" s="29" t="n">
        <v>0</v>
      </c>
      <c r="I53" s="10" t="s">
        <v>313</v>
      </c>
      <c r="J53" s="10" t="s">
        <v>317</v>
      </c>
      <c r="K53" s="14" t="s">
        <v>447</v>
      </c>
    </row>
    <row r="54" customFormat="false" ht="15" hidden="false" customHeight="false" outlineLevel="0" collapsed="false">
      <c r="A54" s="11" t="s">
        <v>448</v>
      </c>
      <c r="B54" s="29" t="n">
        <v>750000</v>
      </c>
      <c r="C54" s="29" t="n">
        <v>0</v>
      </c>
      <c r="D54" s="29" t="n">
        <v>0</v>
      </c>
      <c r="E54" s="29" t="n">
        <v>0</v>
      </c>
      <c r="F54" s="29" t="n">
        <v>0</v>
      </c>
      <c r="G54" s="29" t="n">
        <v>0</v>
      </c>
      <c r="H54" s="29" t="n">
        <v>0</v>
      </c>
      <c r="I54" s="10" t="s">
        <v>313</v>
      </c>
      <c r="J54" s="10" t="s">
        <v>317</v>
      </c>
      <c r="K54" s="14" t="s">
        <v>449</v>
      </c>
    </row>
    <row r="55" customFormat="false" ht="15" hidden="false" customHeight="false" outlineLevel="0" collapsed="false">
      <c r="A55" s="11" t="s">
        <v>450</v>
      </c>
      <c r="B55" s="29" t="n">
        <v>750000</v>
      </c>
      <c r="C55" s="29" t="n">
        <v>0</v>
      </c>
      <c r="D55" s="29" t="n">
        <v>0</v>
      </c>
      <c r="E55" s="29" t="n">
        <v>0</v>
      </c>
      <c r="F55" s="29" t="n">
        <v>0</v>
      </c>
      <c r="G55" s="29" t="n">
        <v>0</v>
      </c>
      <c r="H55" s="29" t="n">
        <v>0</v>
      </c>
      <c r="I55" s="10" t="s">
        <v>313</v>
      </c>
      <c r="J55" s="10" t="s">
        <v>317</v>
      </c>
      <c r="K55" s="14" t="s">
        <v>451</v>
      </c>
    </row>
    <row r="56" customFormat="false" ht="15" hidden="false" customHeight="false" outlineLevel="0" collapsed="false">
      <c r="A56" s="11" t="s">
        <v>452</v>
      </c>
      <c r="B56" s="29" t="n">
        <v>750000</v>
      </c>
      <c r="C56" s="29" t="n">
        <v>0</v>
      </c>
      <c r="D56" s="29" t="n">
        <v>0</v>
      </c>
      <c r="E56" s="29" t="n">
        <v>0</v>
      </c>
      <c r="F56" s="29" t="n">
        <v>0</v>
      </c>
      <c r="G56" s="29" t="n">
        <v>0</v>
      </c>
      <c r="H56" s="29" t="n">
        <v>0</v>
      </c>
      <c r="I56" s="10" t="s">
        <v>313</v>
      </c>
      <c r="J56" s="10" t="s">
        <v>317</v>
      </c>
      <c r="K56" s="14" t="s">
        <v>451</v>
      </c>
    </row>
    <row r="57" customFormat="false" ht="15" hidden="false" customHeight="false" outlineLevel="0" collapsed="false">
      <c r="A57" s="11" t="s">
        <v>453</v>
      </c>
      <c r="B57" s="29" t="n">
        <v>750000</v>
      </c>
      <c r="C57" s="29" t="n">
        <v>0</v>
      </c>
      <c r="D57" s="29" t="n">
        <v>0</v>
      </c>
      <c r="E57" s="29" t="n">
        <v>0</v>
      </c>
      <c r="F57" s="29" t="n">
        <v>0</v>
      </c>
      <c r="G57" s="29" t="n">
        <v>0</v>
      </c>
      <c r="H57" s="29" t="n">
        <v>0</v>
      </c>
      <c r="I57" s="10" t="s">
        <v>313</v>
      </c>
      <c r="J57" s="10" t="s">
        <v>317</v>
      </c>
      <c r="K57" s="14" t="s">
        <v>451</v>
      </c>
    </row>
    <row r="58" customFormat="false" ht="15" hidden="false" customHeight="false" outlineLevel="0" collapsed="false">
      <c r="A58" s="11" t="s">
        <v>454</v>
      </c>
      <c r="B58" s="29" t="n">
        <v>750000</v>
      </c>
      <c r="C58" s="29" t="n">
        <v>0</v>
      </c>
      <c r="D58" s="29" t="n">
        <v>0</v>
      </c>
      <c r="E58" s="29" t="n">
        <v>0</v>
      </c>
      <c r="F58" s="29" t="n">
        <v>0</v>
      </c>
      <c r="G58" s="29" t="n">
        <v>0</v>
      </c>
      <c r="H58" s="29" t="n">
        <v>0</v>
      </c>
      <c r="I58" s="10" t="s">
        <v>313</v>
      </c>
      <c r="J58" s="10" t="s">
        <v>317</v>
      </c>
      <c r="K58" s="14" t="s">
        <v>451</v>
      </c>
    </row>
    <row r="59" customFormat="false" ht="15" hidden="false" customHeight="false" outlineLevel="0" collapsed="false">
      <c r="A59" s="11" t="s">
        <v>455</v>
      </c>
      <c r="B59" s="29" t="n">
        <v>750000</v>
      </c>
      <c r="C59" s="29" t="n">
        <v>0</v>
      </c>
      <c r="D59" s="29" t="n">
        <v>0</v>
      </c>
      <c r="E59" s="29" t="n">
        <v>0</v>
      </c>
      <c r="F59" s="29" t="n">
        <v>0</v>
      </c>
      <c r="G59" s="29" t="n">
        <v>0</v>
      </c>
      <c r="H59" s="29" t="n">
        <v>0</v>
      </c>
      <c r="I59" s="10" t="s">
        <v>313</v>
      </c>
      <c r="J59" s="10" t="s">
        <v>317</v>
      </c>
      <c r="K59" s="14" t="s">
        <v>451</v>
      </c>
    </row>
    <row r="60" customFormat="false" ht="15" hidden="false" customHeight="false" outlineLevel="0" collapsed="false">
      <c r="A60" s="11" t="s">
        <v>456</v>
      </c>
      <c r="B60" s="29" t="n">
        <v>750000</v>
      </c>
      <c r="C60" s="29" t="n">
        <v>0</v>
      </c>
      <c r="D60" s="29" t="n">
        <v>0</v>
      </c>
      <c r="E60" s="29" t="n">
        <v>0</v>
      </c>
      <c r="F60" s="29" t="n">
        <v>0</v>
      </c>
      <c r="G60" s="29" t="n">
        <v>0</v>
      </c>
      <c r="H60" s="29" t="n">
        <v>0</v>
      </c>
      <c r="I60" s="10" t="s">
        <v>313</v>
      </c>
      <c r="J60" s="10" t="s">
        <v>317</v>
      </c>
      <c r="K60" s="14" t="s">
        <v>451</v>
      </c>
    </row>
    <row r="61" customFormat="false" ht="15" hidden="false" customHeight="false" outlineLevel="0" collapsed="false">
      <c r="A61" s="11" t="s">
        <v>457</v>
      </c>
      <c r="B61" s="29" t="n">
        <v>750000</v>
      </c>
      <c r="C61" s="29" t="n">
        <v>0</v>
      </c>
      <c r="D61" s="29" t="n">
        <v>0</v>
      </c>
      <c r="E61" s="29" t="n">
        <v>0</v>
      </c>
      <c r="F61" s="29" t="n">
        <v>0</v>
      </c>
      <c r="G61" s="29" t="n">
        <v>0</v>
      </c>
      <c r="H61" s="29" t="n">
        <v>0</v>
      </c>
      <c r="I61" s="10" t="s">
        <v>313</v>
      </c>
      <c r="J61" s="10" t="s">
        <v>317</v>
      </c>
      <c r="K61" s="14" t="s">
        <v>451</v>
      </c>
    </row>
    <row r="62" customFormat="false" ht="15" hidden="false" customHeight="false" outlineLevel="0" collapsed="false">
      <c r="A62" s="11" t="s">
        <v>458</v>
      </c>
      <c r="B62" s="29" t="n">
        <v>0</v>
      </c>
      <c r="C62" s="29" t="n">
        <v>250000</v>
      </c>
      <c r="D62" s="29" t="n">
        <v>0</v>
      </c>
      <c r="E62" s="29" t="n">
        <v>0</v>
      </c>
      <c r="F62" s="29" t="n">
        <v>0</v>
      </c>
      <c r="G62" s="29" t="n">
        <v>0</v>
      </c>
      <c r="H62" s="29" t="n">
        <v>0</v>
      </c>
      <c r="I62" s="10" t="s">
        <v>313</v>
      </c>
      <c r="J62" s="10" t="s">
        <v>317</v>
      </c>
      <c r="K62" s="14" t="s">
        <v>459</v>
      </c>
    </row>
    <row r="63" customFormat="false" ht="15" hidden="false" customHeight="false" outlineLevel="0" collapsed="false">
      <c r="A63" s="11" t="s">
        <v>460</v>
      </c>
      <c r="B63" s="29" t="n">
        <v>0</v>
      </c>
      <c r="C63" s="29" t="n">
        <v>0</v>
      </c>
      <c r="D63" s="29" t="n">
        <v>0</v>
      </c>
      <c r="E63" s="29" t="n">
        <v>0</v>
      </c>
      <c r="F63" s="29" t="n">
        <v>0</v>
      </c>
      <c r="G63" s="29" t="n">
        <v>0</v>
      </c>
      <c r="H63" s="29" t="n">
        <v>0</v>
      </c>
      <c r="I63" s="10" t="s">
        <v>313</v>
      </c>
      <c r="J63" s="10" t="s">
        <v>317</v>
      </c>
      <c r="K63" s="14" t="s">
        <v>461</v>
      </c>
    </row>
    <row r="64" customFormat="false" ht="15" hidden="false" customHeight="false" outlineLevel="0" collapsed="false">
      <c r="A64" s="11" t="s">
        <v>462</v>
      </c>
      <c r="B64" s="29" t="n">
        <v>178025</v>
      </c>
      <c r="C64" s="29" t="n">
        <v>0</v>
      </c>
      <c r="D64" s="29" t="n">
        <v>0</v>
      </c>
      <c r="E64" s="29" t="n">
        <v>0</v>
      </c>
      <c r="F64" s="29" t="n">
        <v>10</v>
      </c>
      <c r="G64" s="29" t="n">
        <v>92</v>
      </c>
      <c r="H64" s="29" t="n">
        <v>0</v>
      </c>
      <c r="I64" s="10" t="s">
        <v>313</v>
      </c>
      <c r="J64" s="10" t="s">
        <v>313</v>
      </c>
      <c r="K64" s="14" t="s">
        <v>463</v>
      </c>
    </row>
    <row r="65" customFormat="false" ht="15" hidden="false" customHeight="false" outlineLevel="0" collapsed="false">
      <c r="A65" s="11" t="s">
        <v>464</v>
      </c>
      <c r="B65" s="29" t="n">
        <v>120000</v>
      </c>
      <c r="C65" s="29" t="n">
        <v>0</v>
      </c>
      <c r="D65" s="29" t="n">
        <v>0</v>
      </c>
      <c r="E65" s="29" t="n">
        <v>0</v>
      </c>
      <c r="F65" s="29" t="n">
        <v>0</v>
      </c>
      <c r="G65" s="29" t="n">
        <v>64</v>
      </c>
      <c r="H65" s="29" t="n">
        <v>0</v>
      </c>
      <c r="I65" s="10" t="s">
        <v>313</v>
      </c>
      <c r="J65" s="10" t="s">
        <v>313</v>
      </c>
      <c r="K65" s="14" t="s">
        <v>465</v>
      </c>
    </row>
    <row r="66" customFormat="false" ht="15" hidden="false" customHeight="false" outlineLevel="0" collapsed="false">
      <c r="A66" s="11" t="s">
        <v>466</v>
      </c>
      <c r="B66" s="29" t="n">
        <v>375000</v>
      </c>
      <c r="C66" s="29" t="n">
        <v>0</v>
      </c>
      <c r="D66" s="29" t="n">
        <v>0</v>
      </c>
      <c r="E66" s="29" t="n">
        <v>0</v>
      </c>
      <c r="F66" s="29" t="n">
        <v>0</v>
      </c>
      <c r="G66" s="29" t="n">
        <v>0</v>
      </c>
      <c r="H66" s="29" t="n">
        <v>0</v>
      </c>
      <c r="I66" s="10" t="s">
        <v>317</v>
      </c>
      <c r="J66" s="10" t="s">
        <v>317</v>
      </c>
      <c r="K66" s="14" t="s">
        <v>467</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468</v>
      </c>
    </row>
    <row r="79" customFormat="false" ht="26.85" hidden="false" customHeight="false" outlineLevel="0" collapsed="false">
      <c r="A79" s="3" t="s">
        <v>469</v>
      </c>
      <c r="B79" s="3" t="s">
        <v>372</v>
      </c>
      <c r="C79" s="3" t="s">
        <v>373</v>
      </c>
      <c r="D79" s="3" t="s">
        <v>374</v>
      </c>
      <c r="E79" s="3" t="s">
        <v>375</v>
      </c>
      <c r="F79" s="3" t="s">
        <v>376</v>
      </c>
      <c r="G79" s="3" t="s">
        <v>377</v>
      </c>
      <c r="H79" s="3" t="s">
        <v>378</v>
      </c>
      <c r="I79" s="3" t="s">
        <v>10</v>
      </c>
      <c r="J79" s="3" t="s">
        <v>12</v>
      </c>
      <c r="K79" s="3" t="s">
        <v>13</v>
      </c>
    </row>
    <row r="80" customFormat="false" ht="15" hidden="false" customHeight="false" outlineLevel="0" collapsed="false">
      <c r="A80" s="11" t="s">
        <v>470</v>
      </c>
      <c r="B80" s="29" t="n">
        <v>1837500</v>
      </c>
      <c r="C80" s="29" t="n">
        <v>0</v>
      </c>
      <c r="D80" s="29" t="n">
        <v>0</v>
      </c>
      <c r="E80" s="29" t="n">
        <v>0</v>
      </c>
      <c r="F80" s="29" t="n">
        <v>2</v>
      </c>
      <c r="G80" s="29" t="n">
        <v>1</v>
      </c>
      <c r="H80" s="29" t="n">
        <v>183</v>
      </c>
      <c r="I80" s="29" t="n">
        <v>0</v>
      </c>
      <c r="J80" s="10" t="s">
        <v>471</v>
      </c>
      <c r="K80" s="14" t="s">
        <v>472</v>
      </c>
    </row>
    <row r="81" customFormat="false" ht="15" hidden="false" customHeight="false" outlineLevel="0" collapsed="false">
      <c r="A81" s="11" t="s">
        <v>473</v>
      </c>
      <c r="B81" s="29" t="n">
        <v>0</v>
      </c>
      <c r="C81" s="29" t="n">
        <v>359800</v>
      </c>
      <c r="D81" s="29" t="n">
        <v>0</v>
      </c>
      <c r="E81" s="29" t="n">
        <v>0</v>
      </c>
      <c r="F81" s="29" t="n">
        <v>0</v>
      </c>
      <c r="G81" s="29" t="n">
        <v>0</v>
      </c>
      <c r="H81" s="29" t="n">
        <v>0</v>
      </c>
      <c r="I81" s="29" t="n">
        <v>0</v>
      </c>
      <c r="J81" s="10" t="s">
        <v>471</v>
      </c>
      <c r="K81" s="14"/>
    </row>
    <row r="82" customFormat="false" ht="15" hidden="false" customHeight="false" outlineLevel="0" collapsed="false">
      <c r="A82" s="11" t="s">
        <v>474</v>
      </c>
      <c r="B82" s="29" t="n">
        <v>9791250</v>
      </c>
      <c r="C82" s="29" t="n">
        <v>0</v>
      </c>
      <c r="D82" s="29" t="n">
        <v>0</v>
      </c>
      <c r="E82" s="29" t="n">
        <v>0</v>
      </c>
      <c r="F82" s="29" t="n">
        <v>1</v>
      </c>
      <c r="G82" s="29" t="n">
        <v>0</v>
      </c>
      <c r="H82" s="29" t="n">
        <v>979</v>
      </c>
      <c r="I82" s="29" t="n">
        <v>55000000</v>
      </c>
      <c r="J82" s="10" t="s">
        <v>471</v>
      </c>
      <c r="K82" s="14" t="s">
        <v>475</v>
      </c>
    </row>
    <row r="83" customFormat="false" ht="15" hidden="false" customHeight="false" outlineLevel="0" collapsed="false">
      <c r="A83" s="11" t="s">
        <v>476</v>
      </c>
      <c r="B83" s="29" t="n">
        <v>0</v>
      </c>
      <c r="C83" s="29" t="n">
        <v>359800</v>
      </c>
      <c r="D83" s="29" t="n">
        <v>0</v>
      </c>
      <c r="E83" s="29" t="n">
        <v>0</v>
      </c>
      <c r="F83" s="29" t="n">
        <v>0</v>
      </c>
      <c r="G83" s="29" t="n">
        <v>0</v>
      </c>
      <c r="H83" s="29" t="n">
        <v>0</v>
      </c>
      <c r="I83" s="29" t="n">
        <v>0</v>
      </c>
      <c r="J83" s="10" t="s">
        <v>471</v>
      </c>
      <c r="K83" s="14" t="s">
        <v>475</v>
      </c>
    </row>
    <row r="84" customFormat="false" ht="15" hidden="false" customHeight="false" outlineLevel="0" collapsed="false">
      <c r="A84" s="11" t="s">
        <v>477</v>
      </c>
      <c r="B84" s="26"/>
      <c r="C84" s="29" t="n">
        <v>0</v>
      </c>
      <c r="D84" s="29" t="n">
        <v>0</v>
      </c>
      <c r="E84" s="29" t="n">
        <v>0</v>
      </c>
      <c r="F84" s="26"/>
      <c r="G84" s="26"/>
      <c r="H84" s="26"/>
      <c r="I84" s="29" t="n">
        <v>3000000</v>
      </c>
      <c r="J84" s="10" t="s">
        <v>478</v>
      </c>
      <c r="K84" s="14" t="s">
        <v>479</v>
      </c>
    </row>
    <row r="85" customFormat="false" ht="15" hidden="false" customHeight="false" outlineLevel="0" collapsed="false">
      <c r="A85" s="11" t="s">
        <v>480</v>
      </c>
      <c r="B85" s="26"/>
      <c r="C85" s="29" t="n">
        <v>0</v>
      </c>
      <c r="D85" s="29" t="n">
        <v>0</v>
      </c>
      <c r="E85" s="29" t="n">
        <v>0</v>
      </c>
      <c r="F85" s="26"/>
      <c r="G85" s="26"/>
      <c r="H85" s="26"/>
      <c r="I85" s="29" t="n">
        <v>3000000</v>
      </c>
      <c r="J85" s="10" t="s">
        <v>481</v>
      </c>
      <c r="K85" s="14" t="s">
        <v>482</v>
      </c>
    </row>
    <row r="86" customFormat="false" ht="15" hidden="false" customHeight="false" outlineLevel="0" collapsed="false">
      <c r="A86" s="11" t="s">
        <v>483</v>
      </c>
      <c r="B86" s="29" t="n">
        <v>1650010</v>
      </c>
      <c r="C86" s="29" t="n">
        <v>0</v>
      </c>
      <c r="D86" s="29" t="n">
        <v>0</v>
      </c>
      <c r="E86" s="29" t="n">
        <v>0</v>
      </c>
      <c r="F86" s="29" t="n">
        <v>3</v>
      </c>
      <c r="G86" s="29" t="n">
        <v>1</v>
      </c>
      <c r="H86" s="29" t="n">
        <v>164</v>
      </c>
      <c r="I86" s="29" t="n">
        <v>3000000</v>
      </c>
      <c r="J86" s="10" t="s">
        <v>471</v>
      </c>
      <c r="K86" s="14" t="s">
        <v>484</v>
      </c>
    </row>
    <row r="87" customFormat="false" ht="15" hidden="false" customHeight="false" outlineLevel="0" collapsed="false">
      <c r="A87" s="11" t="s">
        <v>485</v>
      </c>
      <c r="B87" s="29" t="n">
        <v>1650000</v>
      </c>
      <c r="C87" s="29" t="n">
        <v>0</v>
      </c>
      <c r="D87" s="29" t="n">
        <v>0</v>
      </c>
      <c r="E87" s="29" t="n">
        <v>0</v>
      </c>
      <c r="F87" s="29" t="n">
        <v>3</v>
      </c>
      <c r="G87" s="29" t="n">
        <v>1</v>
      </c>
      <c r="H87" s="29" t="n">
        <v>164</v>
      </c>
      <c r="I87" s="29" t="n">
        <v>3000000</v>
      </c>
      <c r="J87" s="10" t="s">
        <v>471</v>
      </c>
      <c r="K87" s="14" t="s">
        <v>486</v>
      </c>
    </row>
    <row r="88" customFormat="false" ht="15" hidden="false" customHeight="false" outlineLevel="0" collapsed="false">
      <c r="A88" s="11" t="s">
        <v>487</v>
      </c>
      <c r="B88" s="29" t="n">
        <v>1650000</v>
      </c>
      <c r="C88" s="29" t="n">
        <v>0</v>
      </c>
      <c r="D88" s="29" t="n">
        <v>0</v>
      </c>
      <c r="E88" s="29" t="n">
        <v>0</v>
      </c>
      <c r="F88" s="29" t="n">
        <v>3</v>
      </c>
      <c r="G88" s="29" t="n">
        <v>1</v>
      </c>
      <c r="H88" s="29" t="n">
        <v>164</v>
      </c>
      <c r="I88" s="29" t="n">
        <v>3000000</v>
      </c>
      <c r="J88" s="10" t="s">
        <v>488</v>
      </c>
      <c r="K88" s="14" t="s">
        <v>489</v>
      </c>
    </row>
    <row r="89" customFormat="false" ht="15" hidden="false" customHeight="false" outlineLevel="0" collapsed="false">
      <c r="A89" s="11" t="s">
        <v>490</v>
      </c>
      <c r="B89" s="26"/>
      <c r="C89" s="29" t="n">
        <v>0</v>
      </c>
      <c r="D89" s="29" t="n">
        <v>0</v>
      </c>
      <c r="E89" s="29" t="n">
        <v>0</v>
      </c>
      <c r="F89" s="29" t="n">
        <v>0</v>
      </c>
      <c r="G89" s="29" t="n">
        <v>0</v>
      </c>
      <c r="H89" s="29" t="n">
        <v>0</v>
      </c>
      <c r="I89" s="29" t="n">
        <v>17000000</v>
      </c>
      <c r="J89" s="10" t="s">
        <v>481</v>
      </c>
      <c r="K89" s="14" t="s">
        <v>491</v>
      </c>
    </row>
    <row r="90" customFormat="false" ht="15" hidden="false" customHeight="false" outlineLevel="0" collapsed="false">
      <c r="A90" s="11" t="s">
        <v>492</v>
      </c>
      <c r="B90" s="29" t="n">
        <v>0</v>
      </c>
      <c r="C90" s="29" t="n">
        <v>1710500</v>
      </c>
      <c r="D90" s="29" t="n">
        <v>1710000</v>
      </c>
      <c r="E90" s="29" t="n">
        <v>2640000</v>
      </c>
      <c r="F90" s="29" t="n">
        <v>0</v>
      </c>
      <c r="G90" s="29" t="n">
        <v>0</v>
      </c>
      <c r="H90" s="29" t="n">
        <v>0</v>
      </c>
      <c r="I90" s="29" t="n">
        <v>17000000</v>
      </c>
      <c r="J90" s="10" t="s">
        <v>471</v>
      </c>
      <c r="K90" s="14" t="s">
        <v>493</v>
      </c>
    </row>
    <row r="91" customFormat="false" ht="15" hidden="false" customHeight="false" outlineLevel="0" collapsed="false">
      <c r="A91" s="11" t="s">
        <v>494</v>
      </c>
      <c r="B91" s="29" t="n">
        <v>0</v>
      </c>
      <c r="C91" s="29" t="n">
        <v>1370000</v>
      </c>
      <c r="D91" s="29" t="n">
        <v>1370000</v>
      </c>
      <c r="E91" s="29" t="n">
        <v>2130000</v>
      </c>
      <c r="F91" s="29" t="n">
        <v>0</v>
      </c>
      <c r="G91" s="29" t="n">
        <v>0</v>
      </c>
      <c r="H91" s="29" t="n">
        <v>0</v>
      </c>
      <c r="I91" s="29" t="n">
        <v>17000000</v>
      </c>
      <c r="J91" s="10" t="s">
        <v>471</v>
      </c>
      <c r="K91" s="14" t="s">
        <v>495</v>
      </c>
    </row>
    <row r="92" customFormat="false" ht="15" hidden="false" customHeight="false" outlineLevel="0" collapsed="false">
      <c r="A92" s="11" t="s">
        <v>496</v>
      </c>
      <c r="B92" s="29" t="n">
        <v>0</v>
      </c>
      <c r="C92" s="26"/>
      <c r="D92" s="26"/>
      <c r="E92" s="26"/>
      <c r="F92" s="29" t="n">
        <v>0</v>
      </c>
      <c r="G92" s="29" t="n">
        <v>0</v>
      </c>
      <c r="H92" s="29" t="n">
        <v>0</v>
      </c>
      <c r="I92" s="29" t="n">
        <v>17000000</v>
      </c>
      <c r="J92" s="10" t="s">
        <v>478</v>
      </c>
      <c r="K92" s="14" t="s">
        <v>491</v>
      </c>
    </row>
    <row r="93" customFormat="false" ht="15" hidden="false" customHeight="false" outlineLevel="0" collapsed="false">
      <c r="A93" s="11" t="s">
        <v>497</v>
      </c>
      <c r="B93" s="29" t="n">
        <v>0</v>
      </c>
      <c r="C93" s="26"/>
      <c r="D93" s="26"/>
      <c r="E93" s="26"/>
      <c r="F93" s="29" t="n">
        <v>0</v>
      </c>
      <c r="G93" s="29" t="n">
        <v>0</v>
      </c>
      <c r="H93" s="29" t="n">
        <v>0</v>
      </c>
      <c r="I93" s="29" t="n">
        <v>17000000</v>
      </c>
      <c r="J93" s="10" t="s">
        <v>478</v>
      </c>
      <c r="K93" s="14" t="s">
        <v>491</v>
      </c>
    </row>
    <row r="94" customFormat="false" ht="15" hidden="false" customHeight="false" outlineLevel="0" collapsed="false">
      <c r="A94" s="11" t="s">
        <v>498</v>
      </c>
      <c r="B94" s="29" t="n">
        <v>0</v>
      </c>
      <c r="C94" s="26"/>
      <c r="D94" s="26"/>
      <c r="E94" s="26"/>
      <c r="F94" s="29" t="n">
        <v>0</v>
      </c>
      <c r="G94" s="29" t="n">
        <v>0</v>
      </c>
      <c r="H94" s="29" t="n">
        <v>0</v>
      </c>
      <c r="I94" s="29" t="n">
        <v>17000000</v>
      </c>
      <c r="J94" s="10" t="s">
        <v>478</v>
      </c>
      <c r="K94" s="14" t="s">
        <v>491</v>
      </c>
    </row>
    <row r="95" customFormat="false" ht="15" hidden="false" customHeight="false" outlineLevel="0" collapsed="false">
      <c r="A95" s="11" t="s">
        <v>499</v>
      </c>
      <c r="B95" s="29" t="n">
        <v>13000000</v>
      </c>
      <c r="C95" s="29" t="n">
        <v>0</v>
      </c>
      <c r="D95" s="29" t="n">
        <v>0</v>
      </c>
      <c r="E95" s="29" t="n">
        <v>0</v>
      </c>
      <c r="F95" s="26"/>
      <c r="G95" s="26"/>
      <c r="H95" s="26"/>
      <c r="I95" s="29" t="n">
        <v>8000000</v>
      </c>
      <c r="J95" s="10" t="s">
        <v>478</v>
      </c>
      <c r="K95" s="14" t="s">
        <v>500</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501</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502</v>
      </c>
    </row>
    <row r="2" customFormat="false" ht="15" hidden="false" customHeight="false" outlineLevel="0" collapsed="false">
      <c r="A2" s="2" t="s">
        <v>503</v>
      </c>
    </row>
    <row r="4" customFormat="false" ht="26.85" hidden="false" customHeight="false" outlineLevel="0" collapsed="false">
      <c r="A4" s="3" t="s">
        <v>302</v>
      </c>
      <c r="B4" s="3" t="s">
        <v>301</v>
      </c>
      <c r="C4" s="3" t="s">
        <v>372</v>
      </c>
      <c r="D4" s="3" t="s">
        <v>504</v>
      </c>
      <c r="E4" s="3" t="s">
        <v>505</v>
      </c>
      <c r="F4" s="3" t="s">
        <v>506</v>
      </c>
      <c r="G4" s="3" t="s">
        <v>507</v>
      </c>
      <c r="H4" s="3" t="s">
        <v>508</v>
      </c>
      <c r="I4" s="3" t="s">
        <v>509</v>
      </c>
      <c r="J4" s="3" t="s">
        <v>510</v>
      </c>
      <c r="K4" s="3" t="s">
        <v>511</v>
      </c>
      <c r="L4" s="3" t="s">
        <v>512</v>
      </c>
    </row>
    <row r="5" customFormat="false" ht="15" hidden="false" customHeight="false" outlineLevel="0" collapsed="false">
      <c r="A5" s="30" t="s">
        <v>513</v>
      </c>
    </row>
    <row r="6" customFormat="false" ht="15" hidden="false" customHeight="false" outlineLevel="0" collapsed="false">
      <c r="A6" s="12" t="s">
        <v>514</v>
      </c>
      <c r="B6" s="12" t="s">
        <v>515</v>
      </c>
      <c r="C6" s="23" t="n">
        <v>25000</v>
      </c>
      <c r="D6" s="14" t="s">
        <v>516</v>
      </c>
      <c r="E6" s="31" t="s">
        <v>471</v>
      </c>
      <c r="F6" s="31" t="s">
        <v>471</v>
      </c>
      <c r="G6" s="31"/>
      <c r="H6" s="31"/>
      <c r="I6" s="31"/>
      <c r="J6" s="31"/>
      <c r="K6" s="31"/>
      <c r="L6" s="31"/>
    </row>
    <row r="7" customFormat="false" ht="15" hidden="false" customHeight="false" outlineLevel="0" collapsed="false">
      <c r="A7" s="12" t="s">
        <v>517</v>
      </c>
      <c r="B7" s="12" t="s">
        <v>515</v>
      </c>
      <c r="C7" s="23" t="n">
        <v>25000</v>
      </c>
      <c r="D7" s="14" t="s">
        <v>518</v>
      </c>
      <c r="E7" s="31" t="s">
        <v>471</v>
      </c>
      <c r="F7" s="31" t="s">
        <v>471</v>
      </c>
      <c r="G7" s="31"/>
      <c r="H7" s="31"/>
      <c r="I7" s="31"/>
      <c r="J7" s="31"/>
      <c r="K7" s="31"/>
      <c r="L7" s="31"/>
    </row>
    <row r="8" customFormat="false" ht="15" hidden="false" customHeight="false" outlineLevel="0" collapsed="false">
      <c r="A8" s="12" t="s">
        <v>519</v>
      </c>
      <c r="B8" s="12" t="s">
        <v>515</v>
      </c>
      <c r="C8" s="23" t="n">
        <v>50000</v>
      </c>
      <c r="D8" s="14" t="s">
        <v>520</v>
      </c>
      <c r="E8" s="31" t="s">
        <v>471</v>
      </c>
      <c r="F8" s="31" t="s">
        <v>471</v>
      </c>
      <c r="G8" s="31"/>
      <c r="H8" s="31"/>
      <c r="I8" s="31"/>
      <c r="J8" s="31"/>
      <c r="K8" s="31"/>
      <c r="L8" s="31"/>
    </row>
    <row r="9" customFormat="false" ht="15" hidden="false" customHeight="false" outlineLevel="0" collapsed="false">
      <c r="A9" s="12" t="s">
        <v>521</v>
      </c>
      <c r="B9" s="12" t="s">
        <v>515</v>
      </c>
      <c r="C9" s="23" t="n">
        <v>50000</v>
      </c>
      <c r="D9" s="14" t="s">
        <v>522</v>
      </c>
      <c r="E9" s="31" t="s">
        <v>471</v>
      </c>
      <c r="F9" s="31" t="s">
        <v>471</v>
      </c>
      <c r="G9" s="31"/>
      <c r="H9" s="31"/>
      <c r="I9" s="31"/>
      <c r="J9" s="31"/>
      <c r="K9" s="31"/>
      <c r="L9" s="31"/>
    </row>
    <row r="10" customFormat="false" ht="15" hidden="false" customHeight="false" outlineLevel="0" collapsed="false">
      <c r="A10" s="12" t="s">
        <v>523</v>
      </c>
      <c r="B10" s="12" t="s">
        <v>515</v>
      </c>
      <c r="C10" s="23" t="n">
        <v>50000</v>
      </c>
      <c r="D10" s="14" t="s">
        <v>520</v>
      </c>
      <c r="E10" s="31" t="s">
        <v>471</v>
      </c>
      <c r="F10" s="31" t="s">
        <v>471</v>
      </c>
      <c r="G10" s="31"/>
      <c r="H10" s="31"/>
      <c r="I10" s="31"/>
      <c r="J10" s="31"/>
      <c r="K10" s="31"/>
      <c r="L10" s="31"/>
    </row>
    <row r="11" customFormat="false" ht="15" hidden="false" customHeight="false" outlineLevel="0" collapsed="false">
      <c r="A11" s="12" t="s">
        <v>524</v>
      </c>
      <c r="B11" s="12" t="s">
        <v>515</v>
      </c>
      <c r="C11" s="23" t="n">
        <v>25000</v>
      </c>
      <c r="D11" s="14" t="s">
        <v>520</v>
      </c>
      <c r="E11" s="31" t="s">
        <v>471</v>
      </c>
      <c r="F11" s="31" t="s">
        <v>471</v>
      </c>
      <c r="G11" s="31"/>
      <c r="H11" s="31"/>
      <c r="I11" s="31"/>
      <c r="J11" s="31"/>
      <c r="K11" s="31"/>
      <c r="L11" s="31"/>
    </row>
    <row r="12" customFormat="false" ht="15" hidden="false" customHeight="false" outlineLevel="0" collapsed="false">
      <c r="A12" s="12" t="s">
        <v>525</v>
      </c>
      <c r="B12" s="12" t="s">
        <v>515</v>
      </c>
      <c r="C12" s="23" t="n">
        <v>25000</v>
      </c>
      <c r="D12" s="14" t="s">
        <v>526</v>
      </c>
      <c r="E12" s="31" t="s">
        <v>471</v>
      </c>
      <c r="F12" s="31" t="s">
        <v>471</v>
      </c>
      <c r="G12" s="31"/>
      <c r="H12" s="31"/>
      <c r="I12" s="31"/>
      <c r="J12" s="31"/>
      <c r="K12" s="31"/>
      <c r="L12" s="31"/>
    </row>
    <row r="13" customFormat="false" ht="15" hidden="false" customHeight="false" outlineLevel="0" collapsed="false">
      <c r="A13" s="12" t="s">
        <v>527</v>
      </c>
      <c r="B13" s="12" t="s">
        <v>515</v>
      </c>
      <c r="C13" s="23" t="n">
        <v>25000</v>
      </c>
      <c r="D13" s="14" t="s">
        <v>520</v>
      </c>
      <c r="E13" s="31" t="s">
        <v>471</v>
      </c>
      <c r="F13" s="31" t="s">
        <v>471</v>
      </c>
      <c r="G13" s="31"/>
      <c r="H13" s="31"/>
      <c r="I13" s="31"/>
      <c r="J13" s="31"/>
      <c r="K13" s="31"/>
      <c r="L13" s="31"/>
    </row>
    <row r="14" customFormat="false" ht="15" hidden="false" customHeight="false" outlineLevel="0" collapsed="false">
      <c r="A14" s="12" t="s">
        <v>528</v>
      </c>
      <c r="B14" s="12" t="s">
        <v>515</v>
      </c>
      <c r="C14" s="23" t="n">
        <v>50000</v>
      </c>
      <c r="D14" s="14" t="s">
        <v>529</v>
      </c>
      <c r="E14" s="31" t="s">
        <v>471</v>
      </c>
      <c r="F14" s="31" t="s">
        <v>471</v>
      </c>
      <c r="G14" s="31"/>
      <c r="H14" s="31"/>
      <c r="I14" s="31"/>
      <c r="J14" s="31"/>
      <c r="K14" s="31"/>
      <c r="L14" s="31"/>
    </row>
    <row r="15" customFormat="false" ht="15" hidden="false" customHeight="false" outlineLevel="0" collapsed="false">
      <c r="A15" s="12" t="s">
        <v>530</v>
      </c>
      <c r="B15" s="12" t="s">
        <v>515</v>
      </c>
      <c r="C15" s="23" t="n">
        <v>50000</v>
      </c>
      <c r="D15" s="14" t="s">
        <v>520</v>
      </c>
      <c r="E15" s="31" t="s">
        <v>471</v>
      </c>
      <c r="F15" s="31" t="s">
        <v>471</v>
      </c>
      <c r="G15" s="31"/>
      <c r="H15" s="31"/>
      <c r="I15" s="31"/>
      <c r="J15" s="31"/>
      <c r="K15" s="31"/>
      <c r="L15" s="31"/>
    </row>
    <row r="16" customFormat="false" ht="15" hidden="false" customHeight="false" outlineLevel="0" collapsed="false">
      <c r="A16" s="12" t="s">
        <v>531</v>
      </c>
      <c r="B16" s="12" t="s">
        <v>515</v>
      </c>
      <c r="C16" s="23" t="n">
        <v>1000000</v>
      </c>
      <c r="D16" s="14" t="s">
        <v>532</v>
      </c>
      <c r="E16" s="31" t="s">
        <v>471</v>
      </c>
      <c r="F16" s="31" t="s">
        <v>471</v>
      </c>
      <c r="G16" s="31"/>
      <c r="H16" s="31"/>
      <c r="I16" s="31"/>
      <c r="J16" s="31"/>
      <c r="K16" s="31"/>
      <c r="L16" s="31"/>
    </row>
    <row r="17" customFormat="false" ht="15" hidden="false" customHeight="false" outlineLevel="0" collapsed="false">
      <c r="A17" s="12" t="s">
        <v>533</v>
      </c>
      <c r="B17" s="12" t="s">
        <v>534</v>
      </c>
      <c r="C17" s="23" t="n">
        <v>100000</v>
      </c>
      <c r="D17" s="14" t="s">
        <v>535</v>
      </c>
      <c r="E17" s="31"/>
      <c r="F17" s="31" t="s">
        <v>471</v>
      </c>
      <c r="G17" s="31"/>
      <c r="H17" s="31"/>
      <c r="I17" s="31"/>
      <c r="J17" s="31"/>
      <c r="K17" s="31"/>
      <c r="L17" s="31"/>
    </row>
    <row r="18" customFormat="false" ht="15" hidden="false" customHeight="false" outlineLevel="0" collapsed="false">
      <c r="A18" s="12" t="s">
        <v>536</v>
      </c>
      <c r="B18" s="12" t="s">
        <v>534</v>
      </c>
      <c r="C18" s="23" t="n">
        <v>25000</v>
      </c>
      <c r="D18" s="14" t="s">
        <v>537</v>
      </c>
      <c r="E18" s="31" t="s">
        <v>471</v>
      </c>
      <c r="F18" s="31" t="s">
        <v>471</v>
      </c>
      <c r="G18" s="31"/>
      <c r="H18" s="31"/>
      <c r="I18" s="31"/>
      <c r="J18" s="31"/>
      <c r="K18" s="31"/>
      <c r="L18" s="31"/>
    </row>
    <row r="19" customFormat="false" ht="15" hidden="false" customHeight="false" outlineLevel="0" collapsed="false">
      <c r="A19" s="12" t="s">
        <v>538</v>
      </c>
      <c r="B19" s="12" t="s">
        <v>534</v>
      </c>
      <c r="C19" s="23" t="n">
        <v>25000</v>
      </c>
      <c r="D19" s="14" t="s">
        <v>539</v>
      </c>
      <c r="E19" s="31" t="s">
        <v>471</v>
      </c>
      <c r="F19" s="31" t="s">
        <v>471</v>
      </c>
      <c r="G19" s="31"/>
      <c r="H19" s="31"/>
      <c r="I19" s="31"/>
      <c r="J19" s="31"/>
      <c r="K19" s="31"/>
      <c r="L19" s="31"/>
    </row>
    <row r="20" customFormat="false" ht="15" hidden="false" customHeight="false" outlineLevel="0" collapsed="false">
      <c r="A20" s="12" t="s">
        <v>540</v>
      </c>
      <c r="B20" s="12" t="s">
        <v>534</v>
      </c>
      <c r="C20" s="23" t="n">
        <v>75000</v>
      </c>
      <c r="D20" s="14" t="s">
        <v>541</v>
      </c>
      <c r="E20" s="31" t="s">
        <v>471</v>
      </c>
      <c r="F20" s="31" t="s">
        <v>471</v>
      </c>
      <c r="G20" s="31"/>
      <c r="H20" s="31"/>
      <c r="I20" s="31"/>
      <c r="J20" s="31"/>
      <c r="K20" s="31"/>
      <c r="L20" s="31"/>
    </row>
    <row r="21" customFormat="false" ht="15" hidden="false" customHeight="false" outlineLevel="0" collapsed="false">
      <c r="A21" s="30" t="s">
        <v>542</v>
      </c>
    </row>
    <row r="22" customFormat="false" ht="15" hidden="false" customHeight="false" outlineLevel="0" collapsed="false">
      <c r="A22" s="12" t="s">
        <v>543</v>
      </c>
      <c r="B22" s="12" t="s">
        <v>544</v>
      </c>
      <c r="C22" s="23" t="n">
        <v>0</v>
      </c>
      <c r="D22" s="14" t="s">
        <v>545</v>
      </c>
      <c r="E22" s="31" t="s">
        <v>471</v>
      </c>
      <c r="F22" s="31"/>
      <c r="G22" s="31"/>
      <c r="H22" s="31"/>
      <c r="I22" s="31"/>
      <c r="J22" s="31"/>
      <c r="K22" s="31"/>
      <c r="L22" s="31"/>
    </row>
    <row r="23" customFormat="false" ht="15" hidden="false" customHeight="false" outlineLevel="0" collapsed="false">
      <c r="A23" s="12" t="s">
        <v>546</v>
      </c>
      <c r="B23" s="12" t="s">
        <v>544</v>
      </c>
      <c r="C23" s="23" t="n">
        <v>0</v>
      </c>
      <c r="D23" s="14" t="s">
        <v>545</v>
      </c>
      <c r="E23" s="31"/>
      <c r="F23" s="31"/>
      <c r="G23" s="31"/>
      <c r="H23" s="31"/>
      <c r="I23" s="31"/>
      <c r="J23" s="31"/>
      <c r="K23" s="31"/>
      <c r="L23" s="31"/>
    </row>
    <row r="24" customFormat="false" ht="15" hidden="false" customHeight="false" outlineLevel="0" collapsed="false">
      <c r="A24" s="12" t="s">
        <v>547</v>
      </c>
      <c r="B24" s="12" t="s">
        <v>544</v>
      </c>
      <c r="C24" s="23" t="n">
        <v>0</v>
      </c>
      <c r="D24" s="14" t="s">
        <v>545</v>
      </c>
      <c r="E24" s="31"/>
      <c r="F24" s="31"/>
      <c r="G24" s="31"/>
      <c r="H24" s="31"/>
      <c r="I24" s="31"/>
      <c r="J24" s="31"/>
      <c r="K24" s="31"/>
      <c r="L24" s="31"/>
    </row>
    <row r="25" customFormat="false" ht="15" hidden="false" customHeight="false" outlineLevel="0" collapsed="false">
      <c r="A25" s="12" t="s">
        <v>548</v>
      </c>
      <c r="B25" s="12" t="s">
        <v>549</v>
      </c>
      <c r="C25" s="23" t="n">
        <v>900000</v>
      </c>
      <c r="D25" s="14" t="s">
        <v>550</v>
      </c>
      <c r="E25" s="31" t="s">
        <v>471</v>
      </c>
      <c r="F25" s="31" t="s">
        <v>471</v>
      </c>
      <c r="G25" s="31"/>
      <c r="H25" s="31"/>
      <c r="I25" s="31"/>
      <c r="J25" s="31"/>
      <c r="K25" s="31"/>
      <c r="L25" s="31"/>
    </row>
    <row r="26" customFormat="false" ht="15" hidden="false" customHeight="false" outlineLevel="0" collapsed="false">
      <c r="A26" s="12" t="s">
        <v>551</v>
      </c>
      <c r="B26" s="12" t="s">
        <v>549</v>
      </c>
      <c r="C26" s="23" t="n">
        <v>0</v>
      </c>
      <c r="D26" s="14" t="s">
        <v>552</v>
      </c>
      <c r="E26" s="31" t="s">
        <v>471</v>
      </c>
      <c r="F26" s="31"/>
      <c r="G26" s="31"/>
      <c r="H26" s="31"/>
      <c r="I26" s="31"/>
      <c r="J26" s="31"/>
      <c r="K26" s="31"/>
      <c r="L26" s="31"/>
    </row>
    <row r="27" customFormat="false" ht="15" hidden="false" customHeight="false" outlineLevel="0" collapsed="false">
      <c r="A27" s="12" t="s">
        <v>553</v>
      </c>
      <c r="B27" s="12" t="s">
        <v>554</v>
      </c>
      <c r="C27" s="23" t="n">
        <v>0</v>
      </c>
      <c r="D27" s="14" t="s">
        <v>555</v>
      </c>
      <c r="E27" s="31"/>
      <c r="F27" s="31"/>
      <c r="G27" s="31"/>
      <c r="H27" s="31"/>
      <c r="I27" s="31"/>
      <c r="J27" s="31"/>
      <c r="K27" s="31"/>
      <c r="L27" s="31"/>
    </row>
    <row r="28" customFormat="false" ht="15" hidden="false" customHeight="false" outlineLevel="0" collapsed="false">
      <c r="A28" s="12" t="s">
        <v>556</v>
      </c>
      <c r="B28" s="12" t="s">
        <v>557</v>
      </c>
      <c r="C28" s="23" t="n">
        <v>0</v>
      </c>
      <c r="D28" s="14" t="s">
        <v>558</v>
      </c>
      <c r="E28" s="31"/>
      <c r="F28" s="31"/>
      <c r="G28" s="31"/>
      <c r="H28" s="31"/>
      <c r="I28" s="31"/>
      <c r="J28" s="31"/>
      <c r="K28" s="31"/>
      <c r="L28" s="31"/>
    </row>
    <row r="29" customFormat="false" ht="15" hidden="false" customHeight="false" outlineLevel="0" collapsed="false">
      <c r="A29" s="30" t="s">
        <v>559</v>
      </c>
    </row>
    <row r="30" customFormat="false" ht="15" hidden="false" customHeight="false" outlineLevel="0" collapsed="false">
      <c r="A30" s="12" t="s">
        <v>560</v>
      </c>
      <c r="B30" s="12" t="s">
        <v>561</v>
      </c>
      <c r="C30" s="23" t="n">
        <v>0</v>
      </c>
      <c r="D30" s="14" t="s">
        <v>562</v>
      </c>
      <c r="E30" s="31"/>
      <c r="F30" s="31"/>
      <c r="G30" s="31"/>
      <c r="H30" s="31"/>
      <c r="I30" s="31"/>
      <c r="J30" s="31"/>
      <c r="K30" s="31"/>
      <c r="L30" s="31"/>
    </row>
    <row r="31" customFormat="false" ht="15" hidden="false" customHeight="false" outlineLevel="0" collapsed="false">
      <c r="A31" s="12" t="s">
        <v>563</v>
      </c>
      <c r="B31" s="12" t="s">
        <v>561</v>
      </c>
      <c r="C31" s="23" t="n">
        <v>0</v>
      </c>
      <c r="D31" s="14" t="s">
        <v>564</v>
      </c>
      <c r="E31" s="31"/>
      <c r="F31" s="31"/>
      <c r="G31" s="31"/>
      <c r="H31" s="31"/>
      <c r="I31" s="31"/>
      <c r="J31" s="31"/>
      <c r="K31" s="31"/>
      <c r="L31" s="31"/>
    </row>
    <row r="32" customFormat="false" ht="15" hidden="false" customHeight="false" outlineLevel="0" collapsed="false">
      <c r="A32" s="12" t="s">
        <v>565</v>
      </c>
      <c r="B32" s="12" t="s">
        <v>561</v>
      </c>
      <c r="C32" s="23" t="n">
        <v>0</v>
      </c>
      <c r="D32" s="14" t="s">
        <v>566</v>
      </c>
      <c r="E32" s="31"/>
      <c r="F32" s="31"/>
      <c r="G32" s="31"/>
      <c r="H32" s="31"/>
      <c r="I32" s="31"/>
      <c r="J32" s="31"/>
      <c r="K32" s="31"/>
      <c r="L32" s="31"/>
    </row>
    <row r="33" customFormat="false" ht="15" hidden="false" customHeight="false" outlineLevel="0" collapsed="false">
      <c r="A33" s="12" t="s">
        <v>567</v>
      </c>
      <c r="B33" s="12" t="s">
        <v>568</v>
      </c>
      <c r="C33" s="23" t="n">
        <v>0</v>
      </c>
      <c r="D33" s="14" t="s">
        <v>569</v>
      </c>
      <c r="E33" s="31" t="s">
        <v>471</v>
      </c>
      <c r="F33" s="31"/>
      <c r="G33" s="31"/>
      <c r="H33" s="31"/>
      <c r="I33" s="31"/>
      <c r="J33" s="31"/>
      <c r="K33" s="31"/>
      <c r="L33" s="31"/>
    </row>
    <row r="34" customFormat="false" ht="15" hidden="false" customHeight="false" outlineLevel="0" collapsed="false">
      <c r="A34" s="12" t="s">
        <v>570</v>
      </c>
      <c r="B34" s="12" t="s">
        <v>561</v>
      </c>
      <c r="C34" s="23" t="n">
        <v>0</v>
      </c>
      <c r="D34" s="14" t="s">
        <v>571</v>
      </c>
      <c r="E34" s="31"/>
      <c r="F34" s="31"/>
      <c r="G34" s="31"/>
      <c r="H34" s="31"/>
      <c r="I34" s="31"/>
      <c r="J34" s="31"/>
      <c r="K34" s="31"/>
      <c r="L34" s="31"/>
    </row>
    <row r="35" customFormat="false" ht="15" hidden="false" customHeight="false" outlineLevel="0" collapsed="false">
      <c r="A35" s="12" t="s">
        <v>572</v>
      </c>
      <c r="B35" s="12" t="s">
        <v>568</v>
      </c>
      <c r="C35" s="23" t="n">
        <v>0</v>
      </c>
      <c r="D35" s="14" t="s">
        <v>573</v>
      </c>
      <c r="E35" s="31"/>
      <c r="F35" s="31"/>
      <c r="G35" s="31"/>
      <c r="H35" s="31"/>
      <c r="I35" s="31"/>
      <c r="J35" s="31"/>
      <c r="K35" s="31"/>
      <c r="L35" s="31"/>
    </row>
    <row r="36" customFormat="false" ht="15" hidden="false" customHeight="false" outlineLevel="0" collapsed="false">
      <c r="A36" s="12" t="s">
        <v>574</v>
      </c>
      <c r="B36" s="12" t="s">
        <v>568</v>
      </c>
      <c r="C36" s="23" t="n">
        <v>0</v>
      </c>
      <c r="D36" s="14" t="s">
        <v>573</v>
      </c>
      <c r="E36" s="31"/>
      <c r="F36" s="31"/>
      <c r="G36" s="31"/>
      <c r="H36" s="31"/>
      <c r="I36" s="31"/>
      <c r="J36" s="31"/>
      <c r="K36" s="31"/>
      <c r="L36" s="31"/>
    </row>
    <row r="37" customFormat="false" ht="15" hidden="false" customHeight="false" outlineLevel="0" collapsed="false">
      <c r="A37" s="12" t="s">
        <v>575</v>
      </c>
      <c r="B37" s="12" t="s">
        <v>561</v>
      </c>
      <c r="C37" s="23" t="n">
        <v>0</v>
      </c>
      <c r="D37" s="14" t="s">
        <v>576</v>
      </c>
      <c r="E37" s="31"/>
      <c r="F37" s="31"/>
      <c r="G37" s="31"/>
      <c r="H37" s="31"/>
      <c r="I37" s="31"/>
      <c r="J37" s="31"/>
      <c r="K37" s="31"/>
      <c r="L37" s="31"/>
    </row>
    <row r="38" customFormat="false" ht="15" hidden="false" customHeight="false" outlineLevel="0" collapsed="false">
      <c r="A38" s="12" t="s">
        <v>577</v>
      </c>
      <c r="B38" s="12" t="s">
        <v>561</v>
      </c>
      <c r="C38" s="23" t="n">
        <v>0</v>
      </c>
      <c r="D38" s="14" t="s">
        <v>578</v>
      </c>
      <c r="E38" s="31"/>
      <c r="F38" s="31"/>
      <c r="G38" s="31"/>
      <c r="H38" s="31"/>
      <c r="I38" s="31"/>
      <c r="J38" s="31"/>
      <c r="K38" s="31"/>
      <c r="L38" s="31"/>
    </row>
    <row r="40" customFormat="false" ht="15" hidden="false" customHeight="false" outlineLevel="0" collapsed="false">
      <c r="A40" s="15" t="s">
        <v>579</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580</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581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582</v>
      </c>
    </row>
    <row r="2" customFormat="false" ht="15" hidden="false" customHeight="false" outlineLevel="0" collapsed="false">
      <c r="A2" s="2" t="s">
        <v>583</v>
      </c>
    </row>
    <row r="4" customFormat="false" ht="15" hidden="false" customHeight="false" outlineLevel="0" collapsed="false">
      <c r="A4" s="15" t="s">
        <v>226</v>
      </c>
      <c r="B4" s="16" t="s">
        <v>584</v>
      </c>
      <c r="D4" s="15" t="s">
        <v>585</v>
      </c>
    </row>
    <row r="5" customFormat="false" ht="15" hidden="false" customHeight="false" outlineLevel="0" collapsed="false">
      <c r="A5" s="15" t="s">
        <v>157</v>
      </c>
      <c r="B5" s="17" t="n">
        <v>46313.7083333333</v>
      </c>
      <c r="E5" s="15" t="s">
        <v>586</v>
      </c>
      <c r="F5" s="15" t="s">
        <v>587</v>
      </c>
      <c r="G5" s="15" t="s">
        <v>588</v>
      </c>
    </row>
    <row r="6" customFormat="false" ht="15" hidden="false" customHeight="false" outlineLevel="0" collapsed="false">
      <c r="A6" s="15" t="s">
        <v>228</v>
      </c>
      <c r="B6" s="18" t="n">
        <v>325778995</v>
      </c>
      <c r="D6" s="16" t="s">
        <v>589</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159</v>
      </c>
      <c r="B7" s="15" t="n">
        <f aca="false">IFERROR(INDEX(A13:A54,MATCH(TRUE(),INDEX(B13:B54&gt;B6,0),0)),"All done")</f>
        <v>17</v>
      </c>
      <c r="D7" s="16" t="s">
        <v>232</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160</v>
      </c>
      <c r="B8" s="19" t="n">
        <f aca="false">IFERROR(INDEX(I13:I54,MATCH(TRUE(),INDEX(B13:B54&gt;B6,0),0)),0)</f>
        <v>24221005</v>
      </c>
    </row>
    <row r="9" customFormat="false" ht="15" hidden="false" customHeight="false" outlineLevel="0" collapsed="false">
      <c r="A9" s="15" t="s">
        <v>590</v>
      </c>
      <c r="B9" s="33" t="n">
        <v>20</v>
      </c>
    </row>
    <row r="10" customFormat="false" ht="15" hidden="false" customHeight="false" outlineLevel="0" collapsed="false">
      <c r="A10" s="15" t="s">
        <v>591</v>
      </c>
      <c r="B10" s="19" t="n">
        <f aca="false">MAX(0,INDEX(B13:B54,B9)-B6)</f>
        <v>99221005</v>
      </c>
    </row>
    <row r="11" customFormat="false" ht="15" hidden="false" customHeight="false" outlineLevel="0" collapsed="false">
      <c r="A11" s="15" t="s">
        <v>592</v>
      </c>
      <c r="B11" s="19" t="n">
        <f aca="true">IFERROR(B10/MAX(B5-NOW(),0.01),0)</f>
        <v>15779362.855067</v>
      </c>
    </row>
    <row r="12" customFormat="false" ht="15" hidden="false" customHeight="false" outlineLevel="0" collapsed="false">
      <c r="A12" s="3" t="s">
        <v>161</v>
      </c>
      <c r="B12" s="3" t="s">
        <v>235</v>
      </c>
      <c r="C12" s="3" t="s">
        <v>593</v>
      </c>
      <c r="D12" s="3" t="s">
        <v>504</v>
      </c>
      <c r="E12" s="3" t="s">
        <v>586</v>
      </c>
      <c r="F12" s="3" t="s">
        <v>587</v>
      </c>
      <c r="G12" s="3" t="s">
        <v>588</v>
      </c>
      <c r="H12" s="3" t="s">
        <v>12</v>
      </c>
      <c r="I12" s="3" t="s">
        <v>236</v>
      </c>
    </row>
    <row r="13" customFormat="false" ht="15" hidden="false" customHeight="false" outlineLevel="0" collapsed="false">
      <c r="A13" s="25" t="n">
        <v>1</v>
      </c>
      <c r="B13" s="26"/>
      <c r="C13" s="11"/>
      <c r="D13" s="11" t="s">
        <v>594</v>
      </c>
      <c r="E13" s="29" t="n">
        <v>0</v>
      </c>
      <c r="F13" s="29" t="n">
        <v>0</v>
      </c>
      <c r="G13" s="29" t="n">
        <v>0</v>
      </c>
      <c r="H13" s="10" t="s">
        <v>168</v>
      </c>
      <c r="I13" s="23" t="str">
        <f aca="false">IF(B13="","",MAX(0,B13-$B$6))</f>
        <v/>
      </c>
    </row>
    <row r="14" customFormat="false" ht="15" hidden="false" customHeight="false" outlineLevel="0" collapsed="false">
      <c r="A14" s="25" t="n">
        <v>2</v>
      </c>
      <c r="B14" s="26"/>
      <c r="C14" s="11"/>
      <c r="D14" s="11" t="s">
        <v>595</v>
      </c>
      <c r="E14" s="29" t="n">
        <v>0</v>
      </c>
      <c r="F14" s="29" t="n">
        <v>0</v>
      </c>
      <c r="G14" s="29" t="n">
        <v>0</v>
      </c>
      <c r="H14" s="10" t="s">
        <v>168</v>
      </c>
      <c r="I14" s="23" t="str">
        <f aca="false">IF(B14="","",MAX(0,B14-$B$6))</f>
        <v/>
      </c>
    </row>
    <row r="15" customFormat="false" ht="15" hidden="false" customHeight="false" outlineLevel="0" collapsed="false">
      <c r="A15" s="25" t="n">
        <v>3</v>
      </c>
      <c r="B15" s="26"/>
      <c r="C15" s="11"/>
      <c r="D15" s="11" t="s">
        <v>596</v>
      </c>
      <c r="E15" s="29" t="n">
        <v>0</v>
      </c>
      <c r="F15" s="29" t="n">
        <v>0</v>
      </c>
      <c r="G15" s="29" t="n">
        <v>0</v>
      </c>
      <c r="H15" s="10" t="s">
        <v>168</v>
      </c>
      <c r="I15" s="23" t="str">
        <f aca="false">IF(B15="","",MAX(0,B15-$B$6))</f>
        <v/>
      </c>
    </row>
    <row r="16" customFormat="false" ht="15" hidden="false" customHeight="false" outlineLevel="0" collapsed="false">
      <c r="A16" s="25" t="n">
        <v>4</v>
      </c>
      <c r="B16" s="26"/>
      <c r="C16" s="11"/>
      <c r="D16" s="11" t="s">
        <v>596</v>
      </c>
      <c r="E16" s="29" t="n">
        <v>0</v>
      </c>
      <c r="F16" s="29" t="n">
        <v>0</v>
      </c>
      <c r="G16" s="29" t="n">
        <v>0</v>
      </c>
      <c r="H16" s="10" t="s">
        <v>168</v>
      </c>
      <c r="I16" s="23" t="str">
        <f aca="false">IF(B16="","",MAX(0,B16-$B$6))</f>
        <v/>
      </c>
    </row>
    <row r="17" customFormat="false" ht="15" hidden="false" customHeight="false" outlineLevel="0" collapsed="false">
      <c r="A17" s="25" t="n">
        <v>5</v>
      </c>
      <c r="B17" s="26"/>
      <c r="C17" s="11" t="s">
        <v>597</v>
      </c>
      <c r="D17" s="11" t="s">
        <v>598</v>
      </c>
      <c r="E17" s="29" t="n">
        <v>0</v>
      </c>
      <c r="F17" s="29" t="n">
        <v>0</v>
      </c>
      <c r="G17" s="29" t="n">
        <v>0</v>
      </c>
      <c r="H17" s="10" t="s">
        <v>168</v>
      </c>
      <c r="I17" s="23" t="str">
        <f aca="false">IF(B17="","",MAX(0,B17-$B$6))</f>
        <v/>
      </c>
    </row>
    <row r="18" customFormat="false" ht="15" hidden="false" customHeight="false" outlineLevel="0" collapsed="false">
      <c r="A18" s="25" t="n">
        <v>6</v>
      </c>
      <c r="B18" s="26"/>
      <c r="C18" s="11" t="s">
        <v>599</v>
      </c>
      <c r="D18" s="11" t="s">
        <v>600</v>
      </c>
      <c r="E18" s="29" t="n">
        <v>0</v>
      </c>
      <c r="F18" s="29" t="n">
        <v>0</v>
      </c>
      <c r="G18" s="29" t="n">
        <v>0</v>
      </c>
      <c r="H18" s="10" t="s">
        <v>168</v>
      </c>
      <c r="I18" s="23" t="str">
        <f aca="false">IF(B18="","",MAX(0,B18-$B$6))</f>
        <v/>
      </c>
    </row>
    <row r="19" customFormat="false" ht="15" hidden="false" customHeight="false" outlineLevel="0" collapsed="false">
      <c r="A19" s="25" t="n">
        <v>7</v>
      </c>
      <c r="B19" s="26"/>
      <c r="C19" s="11" t="s">
        <v>601</v>
      </c>
      <c r="D19" s="11" t="s">
        <v>602</v>
      </c>
      <c r="E19" s="29" t="n">
        <v>0</v>
      </c>
      <c r="F19" s="29" t="n">
        <v>0</v>
      </c>
      <c r="G19" s="29" t="n">
        <v>0</v>
      </c>
      <c r="H19" s="10" t="s">
        <v>168</v>
      </c>
      <c r="I19" s="23" t="str">
        <f aca="false">IF(B19="","",MAX(0,B19-$B$6))</f>
        <v/>
      </c>
    </row>
    <row r="20" customFormat="false" ht="15" hidden="false" customHeight="false" outlineLevel="0" collapsed="false">
      <c r="A20" s="25" t="n">
        <v>8</v>
      </c>
      <c r="B20" s="26"/>
      <c r="C20" s="11" t="s">
        <v>603</v>
      </c>
      <c r="D20" s="11" t="s">
        <v>604</v>
      </c>
      <c r="E20" s="29" t="n">
        <v>0</v>
      </c>
      <c r="F20" s="29" t="n">
        <v>0</v>
      </c>
      <c r="G20" s="29" t="n">
        <v>0</v>
      </c>
      <c r="H20" s="10" t="s">
        <v>168</v>
      </c>
      <c r="I20" s="23" t="str">
        <f aca="false">IF(B20="","",MAX(0,B20-$B$6))</f>
        <v/>
      </c>
    </row>
    <row r="21" customFormat="false" ht="15" hidden="false" customHeight="false" outlineLevel="0" collapsed="false">
      <c r="A21" s="25" t="n">
        <v>9</v>
      </c>
      <c r="B21" s="26"/>
      <c r="C21" s="11" t="s">
        <v>605</v>
      </c>
      <c r="D21" s="11" t="s">
        <v>606</v>
      </c>
      <c r="E21" s="29" t="n">
        <v>0</v>
      </c>
      <c r="F21" s="29" t="n">
        <v>0</v>
      </c>
      <c r="G21" s="29" t="n">
        <v>0</v>
      </c>
      <c r="H21" s="10" t="s">
        <v>168</v>
      </c>
      <c r="I21" s="23" t="str">
        <f aca="false">IF(B21="","",MAX(0,B21-$B$6))</f>
        <v/>
      </c>
    </row>
    <row r="22" customFormat="false" ht="15" hidden="false" customHeight="false" outlineLevel="0" collapsed="false">
      <c r="A22" s="25" t="n">
        <v>10</v>
      </c>
      <c r="B22" s="26"/>
      <c r="C22" s="11" t="s">
        <v>607</v>
      </c>
      <c r="D22" s="11" t="s">
        <v>608</v>
      </c>
      <c r="E22" s="29" t="n">
        <v>0</v>
      </c>
      <c r="F22" s="29" t="n">
        <v>0</v>
      </c>
      <c r="G22" s="29" t="n">
        <v>0</v>
      </c>
      <c r="H22" s="10" t="s">
        <v>168</v>
      </c>
      <c r="I22" s="23" t="str">
        <f aca="false">IF(B22="","",MAX(0,B22-$B$6))</f>
        <v/>
      </c>
    </row>
    <row r="23" customFormat="false" ht="15" hidden="false" customHeight="false" outlineLevel="0" collapsed="false">
      <c r="A23" s="25" t="n">
        <v>11</v>
      </c>
      <c r="B23" s="26"/>
      <c r="C23" s="11"/>
      <c r="D23" s="11" t="s">
        <v>609</v>
      </c>
      <c r="E23" s="29" t="n">
        <v>900000</v>
      </c>
      <c r="F23" s="29" t="n">
        <v>1300000</v>
      </c>
      <c r="G23" s="29" t="n">
        <v>1900000</v>
      </c>
      <c r="H23" s="10" t="s">
        <v>168</v>
      </c>
      <c r="I23" s="23" t="str">
        <f aca="false">IF(B23="","",MAX(0,B23-$B$6))</f>
        <v/>
      </c>
    </row>
    <row r="24" customFormat="false" ht="15" hidden="false" customHeight="false" outlineLevel="0" collapsed="false">
      <c r="A24" s="25" t="n">
        <v>12</v>
      </c>
      <c r="B24" s="26"/>
      <c r="C24" s="11" t="s">
        <v>610</v>
      </c>
      <c r="D24" s="11" t="s">
        <v>611</v>
      </c>
      <c r="E24" s="29" t="n">
        <v>900000</v>
      </c>
      <c r="F24" s="29" t="n">
        <v>0</v>
      </c>
      <c r="G24" s="29" t="n">
        <v>1900000</v>
      </c>
      <c r="H24" s="10" t="s">
        <v>168</v>
      </c>
      <c r="I24" s="23" t="str">
        <f aca="false">IF(B24="","",MAX(0,B24-$B$6))</f>
        <v/>
      </c>
    </row>
    <row r="25" customFormat="false" ht="15" hidden="false" customHeight="false" outlineLevel="0" collapsed="false">
      <c r="A25" s="25" t="n">
        <v>13</v>
      </c>
      <c r="B25" s="26"/>
      <c r="C25" s="11" t="s">
        <v>612</v>
      </c>
      <c r="D25" s="11" t="s">
        <v>611</v>
      </c>
      <c r="E25" s="29" t="n">
        <v>0</v>
      </c>
      <c r="F25" s="29" t="n">
        <v>1300000</v>
      </c>
      <c r="G25" s="29" t="n">
        <v>1900000</v>
      </c>
      <c r="H25" s="10" t="s">
        <v>168</v>
      </c>
      <c r="I25" s="23" t="str">
        <f aca="false">IF(B25="","",MAX(0,B25-$B$6))</f>
        <v/>
      </c>
    </row>
    <row r="26" customFormat="false" ht="15" hidden="false" customHeight="false" outlineLevel="0" collapsed="false">
      <c r="A26" s="25" t="n">
        <v>14</v>
      </c>
      <c r="B26" s="26"/>
      <c r="C26" s="11" t="s">
        <v>613</v>
      </c>
      <c r="D26" s="11" t="s">
        <v>611</v>
      </c>
      <c r="E26" s="29" t="n">
        <v>900000</v>
      </c>
      <c r="F26" s="29" t="n">
        <v>1300000</v>
      </c>
      <c r="G26" s="29" t="n">
        <v>0</v>
      </c>
      <c r="H26" s="10" t="s">
        <v>168</v>
      </c>
      <c r="I26" s="23" t="str">
        <f aca="false">IF(B26="","",MAX(0,B26-$B$6))</f>
        <v/>
      </c>
    </row>
    <row r="27" customFormat="false" ht="15" hidden="false" customHeight="false" outlineLevel="0" collapsed="false">
      <c r="A27" s="25" t="n">
        <v>15</v>
      </c>
      <c r="B27" s="29" t="n">
        <v>300000000</v>
      </c>
      <c r="C27" s="11"/>
      <c r="D27" s="11" t="s">
        <v>611</v>
      </c>
      <c r="E27" s="29" t="n">
        <v>900000</v>
      </c>
      <c r="F27" s="29" t="n">
        <v>1300000</v>
      </c>
      <c r="G27" s="29" t="n">
        <v>1900000</v>
      </c>
      <c r="H27" s="10" t="s">
        <v>168</v>
      </c>
      <c r="I27" s="23" t="n">
        <f aca="false">IF(B27="","",MAX(0,B27-$B$6))</f>
        <v>0</v>
      </c>
    </row>
    <row r="28" customFormat="false" ht="15" hidden="false" customHeight="false" outlineLevel="0" collapsed="false">
      <c r="A28" s="25" t="n">
        <v>16</v>
      </c>
      <c r="B28" s="29" t="n">
        <v>325000000</v>
      </c>
      <c r="C28" s="11" t="s">
        <v>614</v>
      </c>
      <c r="D28" s="11" t="s">
        <v>611</v>
      </c>
      <c r="E28" s="29" t="n">
        <v>950000</v>
      </c>
      <c r="F28" s="29" t="n">
        <v>0</v>
      </c>
      <c r="G28" s="29" t="n">
        <v>1900000</v>
      </c>
      <c r="H28" s="10" t="s">
        <v>168</v>
      </c>
      <c r="I28" s="23" t="n">
        <f aca="false">IF(B28="","",MAX(0,B28-$B$6))</f>
        <v>0</v>
      </c>
    </row>
    <row r="29" customFormat="false" ht="15" hidden="false" customHeight="false" outlineLevel="0" collapsed="false">
      <c r="A29" s="25" t="n">
        <v>17</v>
      </c>
      <c r="B29" s="29" t="n">
        <v>350000000</v>
      </c>
      <c r="C29" s="11" t="s">
        <v>615</v>
      </c>
      <c r="D29" s="11" t="s">
        <v>611</v>
      </c>
      <c r="E29" s="29" t="n">
        <v>0</v>
      </c>
      <c r="F29" s="29" t="n">
        <v>1400000</v>
      </c>
      <c r="G29" s="29" t="n">
        <v>1900000</v>
      </c>
      <c r="H29" s="10" t="s">
        <v>171</v>
      </c>
      <c r="I29" s="23" t="n">
        <f aca="false">IF(B29="","",MAX(0,B29-$B$6))</f>
        <v>24221005</v>
      </c>
    </row>
    <row r="30" customFormat="false" ht="15" hidden="false" customHeight="false" outlineLevel="0" collapsed="false">
      <c r="A30" s="25" t="n">
        <v>18</v>
      </c>
      <c r="B30" s="29" t="n">
        <v>375000000</v>
      </c>
      <c r="C30" s="11" t="s">
        <v>616</v>
      </c>
      <c r="D30" s="11" t="s">
        <v>617</v>
      </c>
      <c r="E30" s="26"/>
      <c r="F30" s="26"/>
      <c r="G30" s="26"/>
      <c r="H30" s="10" t="s">
        <v>171</v>
      </c>
      <c r="I30" s="23" t="n">
        <f aca="false">IF(B30="","",MAX(0,B30-$B$6))</f>
        <v>49221005</v>
      </c>
    </row>
    <row r="31" customFormat="false" ht="15" hidden="false" customHeight="false" outlineLevel="0" collapsed="false">
      <c r="A31" s="25" t="n">
        <v>19</v>
      </c>
      <c r="B31" s="29" t="n">
        <v>400000000</v>
      </c>
      <c r="C31" s="11" t="s">
        <v>618</v>
      </c>
      <c r="D31" s="11" t="s">
        <v>611</v>
      </c>
      <c r="E31" s="29" t="n">
        <v>0</v>
      </c>
      <c r="F31" s="29" t="n">
        <v>1400000</v>
      </c>
      <c r="G31" s="29" t="n">
        <v>1900000</v>
      </c>
      <c r="H31" s="10" t="s">
        <v>171</v>
      </c>
      <c r="I31" s="23" t="n">
        <f aca="false">IF(B31="","",MAX(0,B31-$B$6))</f>
        <v>74221005</v>
      </c>
    </row>
    <row r="32" customFormat="false" ht="15" hidden="false" customHeight="false" outlineLevel="0" collapsed="false">
      <c r="A32" s="25" t="n">
        <v>20</v>
      </c>
      <c r="B32" s="29" t="n">
        <v>425000000</v>
      </c>
      <c r="C32" s="11" t="s">
        <v>619</v>
      </c>
      <c r="D32" s="11"/>
      <c r="E32" s="29" t="n">
        <v>1300000</v>
      </c>
      <c r="F32" s="29" t="n">
        <v>1400000</v>
      </c>
      <c r="G32" s="29" t="n">
        <v>1900000</v>
      </c>
      <c r="H32" s="10" t="s">
        <v>171</v>
      </c>
      <c r="I32" s="23" t="n">
        <f aca="false">IF(B32="","",MAX(0,B32-$B$6))</f>
        <v>99221005</v>
      </c>
    </row>
    <row r="33" customFormat="false" ht="15" hidden="false" customHeight="false" outlineLevel="0" collapsed="false">
      <c r="A33" s="25" t="n">
        <v>21</v>
      </c>
      <c r="B33" s="29" t="n">
        <v>450000000</v>
      </c>
      <c r="C33" s="11" t="s">
        <v>620</v>
      </c>
      <c r="D33" s="11" t="s">
        <v>611</v>
      </c>
      <c r="E33" s="29" t="n">
        <v>0</v>
      </c>
      <c r="F33" s="29" t="n">
        <v>1400000</v>
      </c>
      <c r="G33" s="29" t="n">
        <v>1900000</v>
      </c>
      <c r="H33" s="10" t="s">
        <v>171</v>
      </c>
      <c r="I33" s="23" t="n">
        <f aca="false">IF(B33="","",MAX(0,B33-$B$6))</f>
        <v>124221005</v>
      </c>
    </row>
    <row r="34" customFormat="false" ht="15" hidden="false" customHeight="false" outlineLevel="0" collapsed="false">
      <c r="A34" s="25" t="n">
        <v>22</v>
      </c>
      <c r="B34" s="29" t="n">
        <v>475000000</v>
      </c>
      <c r="C34" s="11" t="s">
        <v>621</v>
      </c>
      <c r="D34" s="11"/>
      <c r="E34" s="29" t="n">
        <v>1300000</v>
      </c>
      <c r="F34" s="29" t="n">
        <v>1400000</v>
      </c>
      <c r="G34" s="29" t="n">
        <v>1900000</v>
      </c>
      <c r="H34" s="10" t="s">
        <v>171</v>
      </c>
      <c r="I34" s="23" t="n">
        <f aca="false">IF(B34="","",MAX(0,B34-$B$6))</f>
        <v>149221005</v>
      </c>
    </row>
    <row r="35" customFormat="false" ht="15" hidden="false" customHeight="false" outlineLevel="0" collapsed="false">
      <c r="A35" s="25" t="n">
        <v>23</v>
      </c>
      <c r="B35" s="29" t="n">
        <v>500000000</v>
      </c>
      <c r="C35" s="11" t="s">
        <v>622</v>
      </c>
      <c r="D35" s="11" t="s">
        <v>611</v>
      </c>
      <c r="E35" s="29" t="n">
        <v>0</v>
      </c>
      <c r="F35" s="29" t="n">
        <v>1400000</v>
      </c>
      <c r="G35" s="29" t="n">
        <v>1900000</v>
      </c>
      <c r="H35" s="10" t="s">
        <v>171</v>
      </c>
      <c r="I35" s="23" t="n">
        <f aca="false">IF(B35="","",MAX(0,B35-$B$6))</f>
        <v>174221005</v>
      </c>
    </row>
    <row r="36" customFormat="false" ht="15" hidden="false" customHeight="false" outlineLevel="0" collapsed="false">
      <c r="A36" s="25" t="n">
        <v>24</v>
      </c>
      <c r="B36" s="29" t="n">
        <v>525000000</v>
      </c>
      <c r="C36" s="11" t="s">
        <v>623</v>
      </c>
      <c r="D36" s="11"/>
      <c r="E36" s="29" t="n">
        <v>1300000</v>
      </c>
      <c r="F36" s="29" t="n">
        <v>1400000</v>
      </c>
      <c r="G36" s="29" t="n">
        <v>1900000</v>
      </c>
      <c r="H36" s="10" t="s">
        <v>171</v>
      </c>
      <c r="I36" s="23" t="n">
        <f aca="false">IF(B36="","",MAX(0,B36-$B$6))</f>
        <v>199221005</v>
      </c>
    </row>
    <row r="37" customFormat="false" ht="15" hidden="false" customHeight="false" outlineLevel="0" collapsed="false">
      <c r="A37" s="25" t="n">
        <v>25</v>
      </c>
      <c r="B37" s="29" t="n">
        <v>550000000</v>
      </c>
      <c r="C37" s="11" t="s">
        <v>624</v>
      </c>
      <c r="D37" s="11" t="s">
        <v>611</v>
      </c>
      <c r="E37" s="29" t="n">
        <v>0</v>
      </c>
      <c r="F37" s="29" t="n">
        <v>1400000</v>
      </c>
      <c r="G37" s="29" t="n">
        <v>1900000</v>
      </c>
      <c r="H37" s="10" t="s">
        <v>171</v>
      </c>
      <c r="I37" s="23" t="n">
        <f aca="false">IF(B37="","",MAX(0,B37-$B$6))</f>
        <v>224221005</v>
      </c>
    </row>
    <row r="38" customFormat="false" ht="15" hidden="false" customHeight="false" outlineLevel="0" collapsed="false">
      <c r="A38" s="25" t="n">
        <v>26</v>
      </c>
      <c r="B38" s="29" t="n">
        <v>600000000</v>
      </c>
      <c r="C38" s="11" t="s">
        <v>625</v>
      </c>
      <c r="D38" s="11"/>
      <c r="E38" s="29" t="n">
        <v>1300000</v>
      </c>
      <c r="F38" s="29" t="n">
        <v>1400000</v>
      </c>
      <c r="G38" s="29" t="n">
        <v>2000000</v>
      </c>
      <c r="H38" s="10" t="s">
        <v>171</v>
      </c>
      <c r="I38" s="23" t="n">
        <f aca="false">IF(B38="","",MAX(0,B38-$B$6))</f>
        <v>274221005</v>
      </c>
    </row>
    <row r="39" customFormat="false" ht="15" hidden="false" customHeight="false" outlineLevel="0" collapsed="false">
      <c r="A39" s="25" t="n">
        <v>27</v>
      </c>
      <c r="B39" s="29" t="n">
        <v>650000000</v>
      </c>
      <c r="C39" s="11" t="s">
        <v>626</v>
      </c>
      <c r="D39" s="11" t="s">
        <v>611</v>
      </c>
      <c r="E39" s="29" t="n">
        <v>0</v>
      </c>
      <c r="F39" s="29" t="n">
        <v>1400000</v>
      </c>
      <c r="G39" s="29" t="n">
        <v>2000000</v>
      </c>
      <c r="H39" s="10" t="s">
        <v>171</v>
      </c>
      <c r="I39" s="23" t="n">
        <f aca="false">IF(B39="","",MAX(0,B39-$B$6))</f>
        <v>324221005</v>
      </c>
    </row>
    <row r="40" customFormat="false" ht="15" hidden="false" customHeight="false" outlineLevel="0" collapsed="false">
      <c r="A40" s="25" t="n">
        <v>28</v>
      </c>
      <c r="B40" s="29" t="n">
        <v>750000000</v>
      </c>
      <c r="C40" s="11" t="s">
        <v>627</v>
      </c>
      <c r="D40" s="11"/>
      <c r="E40" s="29" t="n">
        <v>1300000</v>
      </c>
      <c r="F40" s="29" t="n">
        <v>1400000</v>
      </c>
      <c r="G40" s="29" t="n">
        <v>2000000</v>
      </c>
      <c r="H40" s="10" t="s">
        <v>171</v>
      </c>
      <c r="I40" s="23" t="n">
        <f aca="false">IF(B40="","",MAX(0,B40-$B$6))</f>
        <v>424221005</v>
      </c>
    </row>
    <row r="41" customFormat="false" ht="15" hidden="false" customHeight="false" outlineLevel="0" collapsed="false">
      <c r="A41" s="25" t="n">
        <v>29</v>
      </c>
      <c r="B41" s="29" t="n">
        <v>900000000</v>
      </c>
      <c r="C41" s="11" t="s">
        <v>628</v>
      </c>
      <c r="D41" s="11" t="s">
        <v>611</v>
      </c>
      <c r="E41" s="29" t="n">
        <v>0</v>
      </c>
      <c r="F41" s="29" t="n">
        <v>1400000</v>
      </c>
      <c r="G41" s="29" t="n">
        <v>2000000</v>
      </c>
      <c r="H41" s="10" t="s">
        <v>171</v>
      </c>
      <c r="I41" s="23" t="n">
        <f aca="false">IF(B41="","",MAX(0,B41-$B$6))</f>
        <v>574221005</v>
      </c>
    </row>
    <row r="42" customFormat="false" ht="15" hidden="false" customHeight="false" outlineLevel="0" collapsed="false">
      <c r="A42" s="25" t="n">
        <v>30</v>
      </c>
      <c r="B42" s="29" t="n">
        <v>1100000000</v>
      </c>
      <c r="C42" s="11" t="s">
        <v>629</v>
      </c>
      <c r="D42" s="11"/>
      <c r="E42" s="29" t="n">
        <v>1400000</v>
      </c>
      <c r="F42" s="29" t="n">
        <v>1400000</v>
      </c>
      <c r="G42" s="29" t="n">
        <v>2000000</v>
      </c>
      <c r="H42" s="10" t="s">
        <v>171</v>
      </c>
      <c r="I42" s="23" t="n">
        <f aca="false">IF(B42="","",MAX(0,B42-$B$6))</f>
        <v>774221005</v>
      </c>
    </row>
    <row r="43" customFormat="false" ht="15" hidden="false" customHeight="false" outlineLevel="0" collapsed="false">
      <c r="A43" s="25" t="n">
        <v>31</v>
      </c>
      <c r="B43" s="29" t="n">
        <v>1300000000</v>
      </c>
      <c r="C43" s="11" t="s">
        <v>630</v>
      </c>
      <c r="D43" s="11" t="s">
        <v>611</v>
      </c>
      <c r="E43" s="29" t="n">
        <v>0</v>
      </c>
      <c r="F43" s="29" t="n">
        <v>1400000</v>
      </c>
      <c r="G43" s="29" t="n">
        <v>2000000</v>
      </c>
      <c r="H43" s="10" t="s">
        <v>171</v>
      </c>
      <c r="I43" s="23" t="n">
        <f aca="false">IF(B43="","",MAX(0,B43-$B$6))</f>
        <v>974221005</v>
      </c>
    </row>
    <row r="44" customFormat="false" ht="15" hidden="false" customHeight="false" outlineLevel="0" collapsed="false">
      <c r="A44" s="25" t="n">
        <v>32</v>
      </c>
      <c r="B44" s="29" t="n">
        <v>1500000000</v>
      </c>
      <c r="C44" s="11" t="s">
        <v>631</v>
      </c>
      <c r="D44" s="11"/>
      <c r="E44" s="29" t="n">
        <v>1400000</v>
      </c>
      <c r="F44" s="29" t="n">
        <v>1400000</v>
      </c>
      <c r="G44" s="29" t="n">
        <v>2700000</v>
      </c>
      <c r="H44" s="10" t="s">
        <v>171</v>
      </c>
      <c r="I44" s="23" t="n">
        <f aca="false">IF(B44="","",MAX(0,B44-$B$6))</f>
        <v>1174221005</v>
      </c>
    </row>
    <row r="45" customFormat="false" ht="15" hidden="false" customHeight="false" outlineLevel="0" collapsed="false">
      <c r="A45" s="25" t="n">
        <v>33</v>
      </c>
      <c r="B45" s="29" t="n">
        <v>1700000000</v>
      </c>
      <c r="C45" s="11" t="s">
        <v>632</v>
      </c>
      <c r="D45" s="11"/>
      <c r="E45" s="29" t="n">
        <v>1400000</v>
      </c>
      <c r="F45" s="29" t="n">
        <v>1400000</v>
      </c>
      <c r="G45" s="29" t="n">
        <v>2700000</v>
      </c>
      <c r="H45" s="10" t="s">
        <v>171</v>
      </c>
      <c r="I45" s="23" t="n">
        <f aca="false">IF(B45="","",MAX(0,B45-$B$6))</f>
        <v>1374221005</v>
      </c>
    </row>
    <row r="46" customFormat="false" ht="15" hidden="false" customHeight="false" outlineLevel="0" collapsed="false">
      <c r="A46" s="25" t="n">
        <v>34</v>
      </c>
      <c r="B46" s="29" t="n">
        <v>1900000000</v>
      </c>
      <c r="C46" s="11" t="s">
        <v>630</v>
      </c>
      <c r="D46" s="11"/>
      <c r="E46" s="29" t="n">
        <v>1400000</v>
      </c>
      <c r="F46" s="29" t="n">
        <v>1400000</v>
      </c>
      <c r="G46" s="29" t="n">
        <v>2700000</v>
      </c>
      <c r="H46" s="10" t="s">
        <v>171</v>
      </c>
      <c r="I46" s="23" t="n">
        <f aca="false">IF(B46="","",MAX(0,B46-$B$6))</f>
        <v>1574221005</v>
      </c>
    </row>
    <row r="47" customFormat="false" ht="15" hidden="false" customHeight="false" outlineLevel="0" collapsed="false">
      <c r="A47" s="25" t="n">
        <v>35</v>
      </c>
      <c r="B47" s="29" t="n">
        <v>2100000000</v>
      </c>
      <c r="C47" s="11" t="s">
        <v>633</v>
      </c>
      <c r="D47" s="11"/>
      <c r="E47" s="29" t="n">
        <v>1400000</v>
      </c>
      <c r="F47" s="29" t="n">
        <v>1400000</v>
      </c>
      <c r="G47" s="29" t="n">
        <v>2700000</v>
      </c>
      <c r="H47" s="10" t="s">
        <v>171</v>
      </c>
      <c r="I47" s="23" t="n">
        <f aca="false">IF(B47="","",MAX(0,B47-$B$6))</f>
        <v>1774221005</v>
      </c>
    </row>
    <row r="48" customFormat="false" ht="15" hidden="false" customHeight="false" outlineLevel="0" collapsed="false">
      <c r="A48" s="25" t="n">
        <v>36</v>
      </c>
      <c r="B48" s="29" t="n">
        <v>2300000000</v>
      </c>
      <c r="C48" s="11" t="s">
        <v>634</v>
      </c>
      <c r="D48" s="11"/>
      <c r="E48" s="29" t="n">
        <v>1400000</v>
      </c>
      <c r="F48" s="29" t="n">
        <v>1400000</v>
      </c>
      <c r="G48" s="29" t="n">
        <v>2700000</v>
      </c>
      <c r="H48" s="10" t="s">
        <v>171</v>
      </c>
      <c r="I48" s="23" t="n">
        <f aca="false">IF(B48="","",MAX(0,B48-$B$6))</f>
        <v>1974221005</v>
      </c>
    </row>
    <row r="49" customFormat="false" ht="15" hidden="false" customHeight="false" outlineLevel="0" collapsed="false">
      <c r="A49" s="25" t="n">
        <v>37</v>
      </c>
      <c r="B49" s="29" t="n">
        <v>2500000000</v>
      </c>
      <c r="C49" s="11" t="s">
        <v>635</v>
      </c>
      <c r="D49" s="11"/>
      <c r="E49" s="29" t="n">
        <v>1400000</v>
      </c>
      <c r="F49" s="29" t="n">
        <v>1400000</v>
      </c>
      <c r="G49" s="29" t="n">
        <v>2700000</v>
      </c>
      <c r="H49" s="10" t="s">
        <v>171</v>
      </c>
      <c r="I49" s="23" t="n">
        <f aca="false">IF(B49="","",MAX(0,B49-$B$6))</f>
        <v>2174221005</v>
      </c>
    </row>
    <row r="50" customFormat="false" ht="15" hidden="false" customHeight="false" outlineLevel="0" collapsed="false">
      <c r="A50" s="25" t="n">
        <v>38</v>
      </c>
      <c r="B50" s="29" t="n">
        <v>2700000000</v>
      </c>
      <c r="C50" s="11" t="s">
        <v>636</v>
      </c>
      <c r="D50" s="11"/>
      <c r="E50" s="29" t="n">
        <v>1400000</v>
      </c>
      <c r="F50" s="29" t="n">
        <v>1400000</v>
      </c>
      <c r="G50" s="29" t="n">
        <v>2700000</v>
      </c>
      <c r="H50" s="10" t="s">
        <v>171</v>
      </c>
      <c r="I50" s="23" t="n">
        <f aca="false">IF(B50="","",MAX(0,B50-$B$6))</f>
        <v>2374221005</v>
      </c>
    </row>
    <row r="51" customFormat="false" ht="15" hidden="false" customHeight="false" outlineLevel="0" collapsed="false">
      <c r="A51" s="25" t="n">
        <v>39</v>
      </c>
      <c r="B51" s="29" t="n">
        <v>2900000000</v>
      </c>
      <c r="C51" s="11" t="s">
        <v>637</v>
      </c>
      <c r="D51" s="11"/>
      <c r="E51" s="29" t="n">
        <v>1400000</v>
      </c>
      <c r="F51" s="29" t="n">
        <v>1400000</v>
      </c>
      <c r="G51" s="29" t="n">
        <v>2700000</v>
      </c>
      <c r="H51" s="10" t="s">
        <v>171</v>
      </c>
      <c r="I51" s="23" t="n">
        <f aca="false">IF(B51="","",MAX(0,B51-$B$6))</f>
        <v>2574221005</v>
      </c>
    </row>
    <row r="52" customFormat="false" ht="15" hidden="false" customHeight="false" outlineLevel="0" collapsed="false">
      <c r="A52" s="25" t="n">
        <v>40</v>
      </c>
      <c r="B52" s="29" t="n">
        <v>3100000000</v>
      </c>
      <c r="C52" s="11" t="s">
        <v>638</v>
      </c>
      <c r="D52" s="11"/>
      <c r="E52" s="29" t="n">
        <v>1400000</v>
      </c>
      <c r="F52" s="29" t="n">
        <v>1400000</v>
      </c>
      <c r="G52" s="29" t="n">
        <v>2700000</v>
      </c>
      <c r="H52" s="10" t="s">
        <v>171</v>
      </c>
      <c r="I52" s="23" t="n">
        <f aca="false">IF(B52="","",MAX(0,B52-$B$6))</f>
        <v>2774221005</v>
      </c>
    </row>
    <row r="53" customFormat="false" ht="15" hidden="false" customHeight="false" outlineLevel="0" collapsed="false">
      <c r="A53" s="25" t="n">
        <v>41</v>
      </c>
      <c r="B53" s="29" t="n">
        <v>3300000000</v>
      </c>
      <c r="C53" s="11" t="s">
        <v>639</v>
      </c>
      <c r="D53" s="11"/>
      <c r="E53" s="29" t="n">
        <v>1400000</v>
      </c>
      <c r="F53" s="29" t="n">
        <v>1400000</v>
      </c>
      <c r="G53" s="29" t="n">
        <v>2700000</v>
      </c>
      <c r="H53" s="10" t="s">
        <v>171</v>
      </c>
      <c r="I53" s="23" t="n">
        <f aca="false">IF(B53="","",MAX(0,B53-$B$6))</f>
        <v>2974221005</v>
      </c>
    </row>
    <row r="54" customFormat="false" ht="15" hidden="false" customHeight="false" outlineLevel="0" collapsed="false">
      <c r="A54" s="25" t="n">
        <v>42</v>
      </c>
      <c r="B54" s="29" t="n">
        <v>3500000000</v>
      </c>
      <c r="C54" s="11" t="s">
        <v>640</v>
      </c>
      <c r="D54" s="11"/>
      <c r="E54" s="29" t="n">
        <v>1400000</v>
      </c>
      <c r="F54" s="29" t="n">
        <v>1400000</v>
      </c>
      <c r="G54" s="29" t="n">
        <v>2700000</v>
      </c>
      <c r="H54" s="10" t="s">
        <v>171</v>
      </c>
      <c r="I54" s="23" t="n">
        <f aca="false">IF(B54="","",MAX(0,B54-$B$6))</f>
        <v>3174221005</v>
      </c>
    </row>
    <row r="56" customFormat="false" ht="15" hidden="false" customHeight="false" outlineLevel="0" collapsed="false">
      <c r="A56" s="2" t="s">
        <v>641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2026-10-12T14:05:12Z</dcterms:created>
  <dc:creator>openpyxl</dc:creator>
  <dc:description/>
  <dc:language>en-US</dc:language>
  <cp:lastModifiedBy/>
  <dcterms:modified xsi:type="dcterms:W3CDTF">2026-10-12T14:05:12Z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