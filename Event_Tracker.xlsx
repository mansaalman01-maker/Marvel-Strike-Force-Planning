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5.xml.rels" ContentType="application/vnd.openxmlformats-package.relationships+xml"/>
  <Override PartName="/xl/worksheets/_rels/sheet2.xml.rels" ContentType="application/vnd.openxmlformats-package.relationships+xml"/>
  <Override PartName="/xl/worksheets/_rels/sheet1.xml.rels" ContentType="application/vnd.openxmlformats-package.relationships+xml"/>
  <Override PartName="/xl/worksheets/sheet8.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Build Priority" sheetId="1" state="visible" r:id="rId3"/>
    <sheet name="Tower Roster" sheetId="2" state="visible" r:id="rId4"/>
    <sheet name="Kyln Tower" sheetId="3" state="visible" r:id="rId5"/>
    <sheet name="Iron Vengeance" sheetId="4" state="visible" r:id="rId6"/>
    <sheet name="Scoring" sheetId="5" state="visible" r:id="rId7"/>
    <sheet name="Resources" sheetId="6" state="visible" r:id="rId8"/>
    <sheet name="Dailies" sheetId="7" state="visible" r:id="rId9"/>
    <sheet name="Iso Fest" sheetId="8" state="visible" r:id="rId10"/>
  </sheets>
  <definedNames>
    <definedName function="false" hidden="true" localSheetId="0" name="_xlnm._FilterDatabase" vbProcedure="false">'Build Priority'!$A$4:$L$27</definedName>
    <definedName function="false" hidden="true" localSheetId="4" name="_xlnm._FilterDatabase" vbProcedure="false">Scoring!$A$4:$J$47</definedName>
    <definedName function="false" hidden="true" localSheetId="1" name="_xlnm._FilterDatabase" vbProcedure="false">'Tower Roster'!$A$4:$I$44</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<sst xmlns="http://schemas.openxmlformats.org/spreadsheetml/2006/main" count="1248" uniqueCount="647">
  <si>
    <t xml:space="preserve">Build Priority</t>
  </si>
  <si>
    <t xml:space="preserve">Iron Raider goal: all five at gear tier 20 for Omega tower floors. Lower number means build first. Change Priority or Status anytime and sort by Priority. Blank yellow cells are details to fill in from the game.</t>
  </si>
  <si>
    <t xml:space="preserve">Priority</t>
  </si>
  <si>
    <t xml:space="preserve">Character</t>
  </si>
  <si>
    <t xml:space="preserve">Team</t>
  </si>
  <si>
    <t xml:space="preserve">Level</t>
  </si>
  <si>
    <t xml:space="preserve">Gear tier</t>
  </si>
  <si>
    <t xml:space="preserve">Iso-8</t>
  </si>
  <si>
    <t xml:space="preserve">Why build</t>
  </si>
  <si>
    <t xml:space="preserve">Next upgrade</t>
  </si>
  <si>
    <t xml:space="preserve">Event points</t>
  </si>
  <si>
    <t xml:space="preserve">Main cost</t>
  </si>
  <si>
    <t xml:space="preserve">Status</t>
  </si>
  <si>
    <t xml:space="preserve">Notes</t>
  </si>
  <si>
    <t xml:space="preserve">Iron Monger</t>
  </si>
  <si>
    <t xml:space="preserve">Iron Raiders</t>
  </si>
  <si>
    <t xml:space="preserve">T3 L3</t>
  </si>
  <si>
    <t xml:space="preserve">Iron Raider tower floors, raids</t>
  </si>
  <si>
    <t xml:space="preserve">5 basic raid runs; raise abilities from level 1; gear up with surplus</t>
  </si>
  <si>
    <t xml:space="preserve">Raid tickets, ability materials, gold</t>
  </si>
  <si>
    <t xml:space="preserve">In progress</t>
  </si>
  <si>
    <t xml:space="preserve">Level 85 and Iso-8 done Oct 11. Goal: gear tier 20 for Omega</t>
  </si>
  <si>
    <t xml:space="preserve">Ulysses Klaue</t>
  </si>
  <si>
    <t xml:space="preserve">Raise abilities from level 1; gear up with surplus to his level cap</t>
  </si>
  <si>
    <t xml:space="preserve">Ability materials, gold</t>
  </si>
  <si>
    <t xml:space="preserve">Not started</t>
  </si>
  <si>
    <t xml:space="preserve">Goal: gear tier 20 for Omega. Needs level 95+ for crimson-tier gear</t>
  </si>
  <si>
    <t xml:space="preserve">Whiplash</t>
  </si>
  <si>
    <t xml:space="preserve">Strongest Iron Raider</t>
  </si>
  <si>
    <t xml:space="preserve">Level 101, then gear tier 20</t>
  </si>
  <si>
    <t xml:space="preserve">Gold, training; crimson for tier 20</t>
  </si>
  <si>
    <t xml:space="preserve">One tier from the Omega goal of gear tier 20</t>
  </si>
  <si>
    <t xml:space="preserve">Yellowjacket</t>
  </si>
  <si>
    <t xml:space="preserve">Level 101, then gear tier 19 and 20</t>
  </si>
  <si>
    <t xml:space="preserve">Gold, training</t>
  </si>
  <si>
    <t xml:space="preserve">Two tiers from the Omega goal of gear tier 20</t>
  </si>
  <si>
    <t xml:space="preserve">Crossbones</t>
  </si>
  <si>
    <t xml:space="preserve">Fifth Iron Raider, needed for a full team</t>
  </si>
  <si>
    <t xml:space="preserve">Level up, abilities, Iso-8 to T3 L3 for raids</t>
  </si>
  <si>
    <t xml:space="preserve">Gear and abilities</t>
  </si>
  <si>
    <t xml:space="preserve">Hulk</t>
  </si>
  <si>
    <t xml:space="preserve">Amazing Avengers</t>
  </si>
  <si>
    <t xml:space="preserve">T3 L5</t>
  </si>
  <si>
    <t xml:space="preserve">Main team; next milestones upgrade him</t>
  </si>
  <si>
    <t xml:space="preserve">Gear tier 21</t>
  </si>
  <si>
    <t xml:space="preserve">Gold and gear</t>
  </si>
  <si>
    <t xml:space="preserve">T3 L5 done Oct 11, T4 matrix unlocked. Holding orange ions for now</t>
  </si>
  <si>
    <t xml:space="preserve">Spider-Man</t>
  </si>
  <si>
    <t xml:space="preserve">Main team; Diamond 4 at milestone 47</t>
  </si>
  <si>
    <t xml:space="preserve">T3 L5 done Oct 12, T4 matrix unlocked. 3 diamonds</t>
  </si>
  <si>
    <t xml:space="preserve">Blade (Mighty)</t>
  </si>
  <si>
    <t xml:space="preserve">T3 L4</t>
  </si>
  <si>
    <t xml:space="preserve">Main team; strongest tower character</t>
  </si>
  <si>
    <t xml:space="preserve">Iso-8 to T3 L5</t>
  </si>
  <si>
    <t xml:space="preserve">Purple ions</t>
  </si>
  <si>
    <t xml:space="preserve">Only if Iso Fest ions come through</t>
  </si>
  <si>
    <t xml:space="preserve">Spider-Woman (Julia)</t>
  </si>
  <si>
    <t xml:space="preserve">Main team</t>
  </si>
  <si>
    <t xml:space="preserve">5 red stars, 104 of 200 shards. Needs ion 1 from Founding Force</t>
  </si>
  <si>
    <t xml:space="preserve">Rachel Cole-Alves</t>
  </si>
  <si>
    <t xml:space="preserve">5 yellow stars. Only if Iso Fest ions come through</t>
  </si>
  <si>
    <t xml:space="preserve">Wasp (Janet)</t>
  </si>
  <si>
    <t xml:space="preserve">Pym Tech</t>
  </si>
  <si>
    <t xml:space="preserve">Founding Force and Designed to Sting run 6 more weeks</t>
  </si>
  <si>
    <t xml:space="preserve">Watch for shards from those events</t>
  </si>
  <si>
    <t xml:space="preserve">5 red stars, 80 of 200 shards. Keep some resources in reserve</t>
  </si>
  <si>
    <t xml:space="preserve">Jocasta</t>
  </si>
  <si>
    <t xml:space="preserve">A.I. Avengers</t>
  </si>
  <si>
    <t xml:space="preserve">Blitz tasks in Iron Vengeance</t>
  </si>
  <si>
    <t xml:space="preserve">Blitz twice with her for 80M points</t>
  </si>
  <si>
    <t xml:space="preserve">Power cores for more shards</t>
  </si>
  <si>
    <t xml:space="preserve">Unlocked Oct 12, 1 of 55 shards to next star. Milestone 48 gives her 7 red stars</t>
  </si>
  <si>
    <t xml:space="preserve">Doctor Strange</t>
  </si>
  <si>
    <t xml:space="preserve">Astral</t>
  </si>
  <si>
    <t xml:space="preserve">Cheap event points only</t>
  </si>
  <si>
    <t xml:space="preserve">Level 101</t>
  </si>
  <si>
    <t xml:space="preserve">Only with leftover resources</t>
  </si>
  <si>
    <t xml:space="preserve">Ancient One</t>
  </si>
  <si>
    <t xml:space="preserve">Hold</t>
  </si>
  <si>
    <t xml:space="preserve">Team is outdated. Play Astral events for their rewards</t>
  </si>
  <si>
    <t xml:space="preserve">Moondragon</t>
  </si>
  <si>
    <t xml:space="preserve">Emma Frost (X-Men)</t>
  </si>
  <si>
    <t xml:space="preserve">Shadow King</t>
  </si>
  <si>
    <t xml:space="preserve">Maxed red stars</t>
  </si>
  <si>
    <t xml:space="preserve">Iso Fest characters, Professor Xavier, Knull, Maestro and Spider-Man (Superior), aren't listed yet. Add them once you know whether to build them.</t>
  </si>
  <si>
    <t xml:space="preserve">Tower Challenger III Roster</t>
  </si>
  <si>
    <t xml:space="preserve">Characters with the Tower Challenger III trait for the Kyln tower. Sorted by power. Yellow cells are yours to fill in: assign teams and mark who to focus on.</t>
  </si>
  <si>
    <t xml:space="preserve">Power</t>
  </si>
  <si>
    <t xml:space="preserve">Stars or diamonds</t>
  </si>
  <si>
    <t xml:space="preserve">Ability levels</t>
  </si>
  <si>
    <t xml:space="preserve">Also useful for</t>
  </si>
  <si>
    <t xml:space="preserve">Tower team</t>
  </si>
  <si>
    <t xml:space="preserve">Focus</t>
  </si>
  <si>
    <t xml:space="preserve">1 diamond</t>
  </si>
  <si>
    <t xml:space="preserve">7 6 7 4</t>
  </si>
  <si>
    <t xml:space="preserve">Hobgoblin</t>
  </si>
  <si>
    <t xml:space="preserve">3 diamonds</t>
  </si>
  <si>
    <t xml:space="preserve">6 7 6 5</t>
  </si>
  <si>
    <t xml:space="preserve">Silver Surfer (Breaker)</t>
  </si>
  <si>
    <t xml:space="preserve">6 red stars</t>
  </si>
  <si>
    <t xml:space="preserve">7 7 7 5</t>
  </si>
  <si>
    <t xml:space="preserve">Superior Spider-Man</t>
  </si>
  <si>
    <t xml:space="preserve">2 diamonds</t>
  </si>
  <si>
    <t xml:space="preserve">7 7 6 5</t>
  </si>
  <si>
    <t xml:space="preserve">Iso Fest</t>
  </si>
  <si>
    <t xml:space="preserve">Iso Fest gives him Diamonds 1 to 5</t>
  </si>
  <si>
    <t xml:space="preserve">Scorpion</t>
  </si>
  <si>
    <t xml:space="preserve">6 6 6 5</t>
  </si>
  <si>
    <t xml:space="preserve">Ikaris</t>
  </si>
  <si>
    <t xml:space="preserve">7 7 7 4</t>
  </si>
  <si>
    <t xml:space="preserve">Sersi</t>
  </si>
  <si>
    <t xml:space="preserve">Storm (Mighty)</t>
  </si>
  <si>
    <t xml:space="preserve">5 red stars</t>
  </si>
  <si>
    <t xml:space="preserve">Lady Bullseye</t>
  </si>
  <si>
    <t xml:space="preserve">Kingo</t>
  </si>
  <si>
    <t xml:space="preserve">Red stars, 13 of 300 shards</t>
  </si>
  <si>
    <t xml:space="preserve">6 6 6 4</t>
  </si>
  <si>
    <t xml:space="preserve">Super Skrull</t>
  </si>
  <si>
    <t xml:space="preserve">Gilgamesh</t>
  </si>
  <si>
    <t xml:space="preserve">4 yellow stars</t>
  </si>
  <si>
    <t xml:space="preserve">6 7 7 5</t>
  </si>
  <si>
    <t xml:space="preserve">Scorpion (Breaker)</t>
  </si>
  <si>
    <t xml:space="preserve">Sword Master</t>
  </si>
  <si>
    <t xml:space="preserve">Thena</t>
  </si>
  <si>
    <t xml:space="preserve">4 red stars</t>
  </si>
  <si>
    <t xml:space="preserve">Steel Serpent</t>
  </si>
  <si>
    <t xml:space="preserve">Iron Fist</t>
  </si>
  <si>
    <t xml:space="preserve">Iron Fist (WWII)</t>
  </si>
  <si>
    <t xml:space="preserve">Level 101 and gear tier 20 planned</t>
  </si>
  <si>
    <t xml:space="preserve">Nightcrawler</t>
  </si>
  <si>
    <t xml:space="preserve">Kestrel</t>
  </si>
  <si>
    <t xml:space="preserve">Sunspot</t>
  </si>
  <si>
    <t xml:space="preserve">Level 101 planned</t>
  </si>
  <si>
    <t xml:space="preserve">Deathpool</t>
  </si>
  <si>
    <t xml:space="preserve">4 diamonds</t>
  </si>
  <si>
    <t xml:space="preserve">Dormammu</t>
  </si>
  <si>
    <t xml:space="preserve">7 stars, maxed</t>
  </si>
  <si>
    <t xml:space="preserve">Northstar</t>
  </si>
  <si>
    <t xml:space="preserve">Sunfire</t>
  </si>
  <si>
    <t xml:space="preserve">Dagger</t>
  </si>
  <si>
    <t xml:space="preserve">7 red stars, maxed</t>
  </si>
  <si>
    <t xml:space="preserve">Sasquatch</t>
  </si>
  <si>
    <t xml:space="preserve">Cloak</t>
  </si>
  <si>
    <t xml:space="preserve">Darkhawk</t>
  </si>
  <si>
    <t xml:space="preserve">Ultron</t>
  </si>
  <si>
    <t xml:space="preserve">Archangel</t>
  </si>
  <si>
    <t xml:space="preserve">7 7 8 6</t>
  </si>
  <si>
    <t xml:space="preserve">Vision</t>
  </si>
  <si>
    <t xml:space="preserve">Ironheart (MKII)</t>
  </si>
  <si>
    <t xml:space="preserve">1 1, two locked</t>
  </si>
  <si>
    <t xml:space="preserve">Abilities at level 1</t>
  </si>
  <si>
    <t xml:space="preserve">4 4 3 2</t>
  </si>
  <si>
    <t xml:space="preserve">3 red stars</t>
  </si>
  <si>
    <t xml:space="preserve">Maestro</t>
  </si>
  <si>
    <t xml:space="preserve">Locked, 170 of 310 shards</t>
  </si>
  <si>
    <t xml:space="preserve">Iso Fest milestones give Maestro shards, which may unlock him</t>
  </si>
  <si>
    <t xml:space="preserve">Annihilus</t>
  </si>
  <si>
    <t xml:space="preserve">Not unlocked</t>
  </si>
  <si>
    <t xml:space="preserve">Owned</t>
  </si>
  <si>
    <t xml:space="preserve">Over 1 million power</t>
  </si>
  <si>
    <t xml:space="preserve">Marked Focus: Yes</t>
  </si>
  <si>
    <t xml:space="preserve">Kyln: Code Blazes</t>
  </si>
  <si>
    <t xml:space="preserve">Milestones give Human Torch (Jim) shards. Log each floor attempt below; team power fills in from the Tower Roster. Yellow cells are yours to edit.</t>
  </si>
  <si>
    <t xml:space="preserve">Ends (approx.)</t>
  </si>
  <si>
    <t xml:space="preserve">High score</t>
  </si>
  <si>
    <t xml:space="preserve">Next milestone</t>
  </si>
  <si>
    <t xml:space="preserve">Points to next</t>
  </si>
  <si>
    <t xml:space="preserve">Milestone</t>
  </si>
  <si>
    <t xml:space="preserve">Score needed</t>
  </si>
  <si>
    <t xml:space="preserve">Human Torch (Jim)</t>
  </si>
  <si>
    <t xml:space="preserve">Reward</t>
  </si>
  <si>
    <t xml:space="preserve">Useful for</t>
  </si>
  <si>
    <t xml:space="preserve">10 shards</t>
  </si>
  <si>
    <t xml:space="preserve">120K purple orb item</t>
  </si>
  <si>
    <t xml:space="preserve">Claimed</t>
  </si>
  <si>
    <t xml:space="preserve">15 shards</t>
  </si>
  <si>
    <t xml:space="preserve">To 1 red star</t>
  </si>
  <si>
    <t xml:space="preserve">Not claimed</t>
  </si>
  <si>
    <t xml:space="preserve">20 shards</t>
  </si>
  <si>
    <t xml:space="preserve">To 2 red stars</t>
  </si>
  <si>
    <t xml:space="preserve">25 shards</t>
  </si>
  <si>
    <t xml:space="preserve">200K teal orb item</t>
  </si>
  <si>
    <t xml:space="preserve">30 shards</t>
  </si>
  <si>
    <t xml:space="preserve">To 3 red stars</t>
  </si>
  <si>
    <t xml:space="preserve">35 shards</t>
  </si>
  <si>
    <t xml:space="preserve">500 orange training</t>
  </si>
  <si>
    <t xml:space="preserve">Leveling, Iron Vengeance level tasks</t>
  </si>
  <si>
    <t xml:space="preserve">40 shards</t>
  </si>
  <si>
    <t xml:space="preserve">200K Red orb, unidentified</t>
  </si>
  <si>
    <t xml:space="preserve">45 shards</t>
  </si>
  <si>
    <t xml:space="preserve">To 4 red stars</t>
  </si>
  <si>
    <t xml:space="preserve">50 shards</t>
  </si>
  <si>
    <t xml:space="preserve">300K Red orb, unidentified</t>
  </si>
  <si>
    <t xml:space="preserve">55 shards</t>
  </si>
  <si>
    <t xml:space="preserve">To 5 red stars</t>
  </si>
  <si>
    <t xml:space="preserve">60 shards</t>
  </si>
  <si>
    <t xml:space="preserve">65 shards</t>
  </si>
  <si>
    <t xml:space="preserve">40K Red gear item, possibly crimson</t>
  </si>
  <si>
    <t xml:space="preserve">Iron Raider gear if crimson</t>
  </si>
  <si>
    <t xml:space="preserve">70 shards</t>
  </si>
  <si>
    <t xml:space="preserve">1,000 orange training</t>
  </si>
  <si>
    <t xml:space="preserve">75 shards</t>
  </si>
  <si>
    <t xml:space="preserve">50K Red gear item, possibly crimson</t>
  </si>
  <si>
    <t xml:space="preserve">To 6 red stars</t>
  </si>
  <si>
    <t xml:space="preserve">80 shards</t>
  </si>
  <si>
    <t xml:space="preserve">2M purple ions</t>
  </si>
  <si>
    <t xml:space="preserve">Iso-8 upgrades; ion type from icon, confirm</t>
  </si>
  <si>
    <t xml:space="preserve">90 shards</t>
  </si>
  <si>
    <t xml:space="preserve">2.64M purple ions</t>
  </si>
  <si>
    <t xml:space="preserve">To 7 red stars, plus 20K Red gear item, possibly crimson</t>
  </si>
  <si>
    <t xml:space="preserve">Diamond 1, plus 2.64M purple ions</t>
  </si>
  <si>
    <t xml:space="preserve">Iso-8 upgrades</t>
  </si>
  <si>
    <t xml:space="preserve">Diamond 2, plus 30K Red gear item, possibly crimson</t>
  </si>
  <si>
    <t xml:space="preserve">Floor log</t>
  </si>
  <si>
    <t xml:space="preserve">Floor</t>
  </si>
  <si>
    <t xml:space="preserve">Difficulty</t>
  </si>
  <si>
    <t xml:space="preserve">Floor requirement</t>
  </si>
  <si>
    <t xml:space="preserve">Character 1</t>
  </si>
  <si>
    <t xml:space="preserve">Character 2</t>
  </si>
  <si>
    <t xml:space="preserve">Character 3</t>
  </si>
  <si>
    <t xml:space="preserve">Character 4</t>
  </si>
  <si>
    <t xml:space="preserve">Character 5</t>
  </si>
  <si>
    <t xml:space="preserve">Team power</t>
  </si>
  <si>
    <t xml:space="preserve">Result</t>
  </si>
  <si>
    <t xml:space="preserve">Attempts</t>
  </si>
  <si>
    <t xml:space="preserve">Score earned</t>
  </si>
  <si>
    <t xml:space="preserve">Cell 1</t>
  </si>
  <si>
    <t xml:space="preserve">Cleared</t>
  </si>
  <si>
    <t xml:space="preserve">Immortal Weapons</t>
  </si>
  <si>
    <t xml:space="preserve">Type character names exactly as on the Tower Roster tab so team power fills in.</t>
  </si>
  <si>
    <t xml:space="preserve">Iron Vengeance Milestone Tracker</t>
  </si>
  <si>
    <t xml:space="preserve">Update Current points as you play and set each Status from its dropdown. Data from your screenshots on Oct 10, 2026.</t>
  </si>
  <si>
    <t xml:space="preserve">Scoring</t>
  </si>
  <si>
    <t xml:space="preserve">Earn 5-Diamond Blade (Mighty)</t>
  </si>
  <si>
    <t xml:space="preserve">Current points</t>
  </si>
  <si>
    <t xml:space="preserve">Reachable with planned tasks</t>
  </si>
  <si>
    <t xml:space="preserve">Milestones reached</t>
  </si>
  <si>
    <t xml:space="preserve">Highest milestone that reaches</t>
  </si>
  <si>
    <t xml:space="preserve">Ready to claim now</t>
  </si>
  <si>
    <t xml:space="preserve">Points to max</t>
  </si>
  <si>
    <t xml:space="preserve">Points per day for max</t>
  </si>
  <si>
    <t xml:space="preserve">Points needed</t>
  </si>
  <si>
    <t xml:space="preserve">Points to go</t>
  </si>
  <si>
    <t xml:space="preserve">45 Yellowjacket shards</t>
  </si>
  <si>
    <t xml:space="preserve">45 Crossbones shards</t>
  </si>
  <si>
    <t xml:space="preserve">45 Whiplash shards</t>
  </si>
  <si>
    <t xml:space="preserve">45 Ulysses Klaue shards</t>
  </si>
  <si>
    <t xml:space="preserve">45 Iron Monger shards</t>
  </si>
  <si>
    <t xml:space="preserve">45 Hulk shards</t>
  </si>
  <si>
    <t xml:space="preserve">45 Spider-Man shards</t>
  </si>
  <si>
    <t xml:space="preserve">45 Spider-Woman (Julia) shards</t>
  </si>
  <si>
    <t xml:space="preserve">45 Rachel Cole-Alves shards</t>
  </si>
  <si>
    <t xml:space="preserve">45 Blade shards</t>
  </si>
  <si>
    <t xml:space="preserve">Yellowjacket to 7 red stars</t>
  </si>
  <si>
    <t xml:space="preserve">Crossbones to 7 red stars</t>
  </si>
  <si>
    <t xml:space="preserve">Hulk to 7 red stars + 3,000 costume credits</t>
  </si>
  <si>
    <t xml:space="preserve">Spider-Man to 7 red stars + 3,000 costume credits</t>
  </si>
  <si>
    <t xml:space="preserve">Whiplash to 7 red stars + 4,000 costume credits</t>
  </si>
  <si>
    <t xml:space="preserve">Ulysses Klaue to 7 red stars + 4,000 costume credits</t>
  </si>
  <si>
    <t xml:space="preserve">Iron Monger to 7 red stars + 5,000 costume credits</t>
  </si>
  <si>
    <t xml:space="preserve">Spider-Woman (Julia) to 7 red stars + 5,000 costume credits</t>
  </si>
  <si>
    <t xml:space="preserve">Rachel Cole-Alves to 7 red stars + 5,000 costume credits</t>
  </si>
  <si>
    <t xml:space="preserve">Blade to 7 red stars + 6,000 costume credits</t>
  </si>
  <si>
    <t xml:space="preserve">55 Yellowjacket shards + 6,000 costume credits</t>
  </si>
  <si>
    <t xml:space="preserve">55 Crossbones shards + 6,000 costume credits</t>
  </si>
  <si>
    <t xml:space="preserve">55 Whiplash shards + 6,000 costume credits</t>
  </si>
  <si>
    <t xml:space="preserve">55 Ulysses Klaue shards + 7,000 costume credits</t>
  </si>
  <si>
    <t xml:space="preserve">55 Iron Monger shards + 7,000 costume credits</t>
  </si>
  <si>
    <t xml:space="preserve">55 Hulk shards + 7,000 costume credits</t>
  </si>
  <si>
    <t xml:space="preserve">55 Spider-Man shards + 8,000 costume credits</t>
  </si>
  <si>
    <t xml:space="preserve">55 Spider-Woman (Julia) shards + 9,000 costume credits</t>
  </si>
  <si>
    <t xml:space="preserve">55 Rachel Cole-Alves shards + 9,000 costume credits</t>
  </si>
  <si>
    <t xml:space="preserve">No reward shown in game</t>
  </si>
  <si>
    <t xml:space="preserve">Spider-Man Diamond 1</t>
  </si>
  <si>
    <t xml:space="preserve">Yellowjacket Diamond 2</t>
  </si>
  <si>
    <t xml:space="preserve">Crossbones Diamond 2</t>
  </si>
  <si>
    <t xml:space="preserve">Hulk Diamond 2</t>
  </si>
  <si>
    <t xml:space="preserve">Spider-Man Diamond 2</t>
  </si>
  <si>
    <t xml:space="preserve">Yellowjacket Diamond 3</t>
  </si>
  <si>
    <t xml:space="preserve">Crossbones Diamond 3</t>
  </si>
  <si>
    <t xml:space="preserve">Whiplash Diamond 1</t>
  </si>
  <si>
    <t xml:space="preserve">Bar and icon cut off, confirm in game</t>
  </si>
  <si>
    <t xml:space="preserve">Ulysses Klaue Diamond 1</t>
  </si>
  <si>
    <t xml:space="preserve">Iron Monger Diamond 1</t>
  </si>
  <si>
    <t xml:space="preserve">Hulk Diamond 3</t>
  </si>
  <si>
    <t xml:space="preserve">Spider-Man Diamond 3</t>
  </si>
  <si>
    <t xml:space="preserve">Hulk Diamond 4</t>
  </si>
  <si>
    <t xml:space="preserve">Spider-Man Diamond 4</t>
  </si>
  <si>
    <t xml:space="preserve">Jocasta to 7 red stars</t>
  </si>
  <si>
    <t xml:space="preserve">Hulk Diamond 5</t>
  </si>
  <si>
    <t xml:space="preserve">Spider-Man Diamond 5</t>
  </si>
  <si>
    <t xml:space="preserve">Whiplash Diamond 2</t>
  </si>
  <si>
    <t xml:space="preserve">Ulysses Klaue Diamond 2</t>
  </si>
  <si>
    <t xml:space="preserve">Iron Monger Diamond 2</t>
  </si>
  <si>
    <t xml:space="preserve">Jocasta Diamond 1</t>
  </si>
  <si>
    <t xml:space="preserve">Whiplash Diamond 3</t>
  </si>
  <si>
    <t xml:space="preserve">Ulysses Klaue Diamond 3</t>
  </si>
  <si>
    <t xml:space="preserve">Iron Monger Diamond 3</t>
  </si>
  <si>
    <t xml:space="preserve">Spider-Woman (Julia) Diamond 2</t>
  </si>
  <si>
    <t xml:space="preserve">Rachel Cole-Alves Diamond 2</t>
  </si>
  <si>
    <t xml:space="preserve">Blade Diamond 2</t>
  </si>
  <si>
    <t xml:space="preserve">Jocasta Diamond 2</t>
  </si>
  <si>
    <t xml:space="preserve">Spider-Woman (Julia) Diamond 3</t>
  </si>
  <si>
    <t xml:space="preserve">Rachel Cole-Alves Diamond 3</t>
  </si>
  <si>
    <t xml:space="preserve">Blade Diamond 3</t>
  </si>
  <si>
    <t xml:space="preserve">How to earn points</t>
  </si>
  <si>
    <t xml:space="preserve">Update Earned from the event info screen. Set Plan to No for tasks you can't do, and the summary adjusts.</t>
  </si>
  <si>
    <t xml:space="preserve">Type</t>
  </si>
  <si>
    <t xml:space="preserve">Task</t>
  </si>
  <si>
    <t xml:space="preserve">Points each</t>
  </si>
  <si>
    <t xml:space="preserve">Limit</t>
  </si>
  <si>
    <t xml:space="preserve">Earned</t>
  </si>
  <si>
    <t xml:space="preserve">Points left</t>
  </si>
  <si>
    <t xml:space="preserve">Times to max</t>
  </si>
  <si>
    <t xml:space="preserve">Times done</t>
  </si>
  <si>
    <t xml:space="preserve">Times left</t>
  </si>
  <si>
    <t xml:space="preserve">Plan</t>
  </si>
  <si>
    <t xml:space="preserve">Daily</t>
  </si>
  <si>
    <t xml:space="preserve">Daily Login</t>
  </si>
  <si>
    <t xml:space="preserve">Yes</t>
  </si>
  <si>
    <t xml:space="preserve">Complete All Clear daily mission</t>
  </si>
  <si>
    <t xml:space="preserve">Spend</t>
  </si>
  <si>
    <t xml:space="preserve">Spend 1 Gold</t>
  </si>
  <si>
    <t xml:space="preserve">No</t>
  </si>
  <si>
    <t xml:space="preserve">Spend 1 Power Core</t>
  </si>
  <si>
    <t xml:space="preserve">Upgrade any character to level 101</t>
  </si>
  <si>
    <t xml:space="preserve">Upgrade any character to level 110</t>
  </si>
  <si>
    <t xml:space="preserve">Raid</t>
  </si>
  <si>
    <t xml:space="preserve">Alliance Raid with Blade (Mighty)</t>
  </si>
  <si>
    <t xml:space="preserve">Alliance Raid with Blade (Mighty), 7 yellow stars, Gear Tier 20</t>
  </si>
  <si>
    <t xml:space="preserve">Alliance Raid with Spider-Woman (Julia)</t>
  </si>
  <si>
    <t xml:space="preserve">Alliance Raid with Spider-Woman (Julia), 7 yellow stars, Gear Tier 20</t>
  </si>
  <si>
    <t xml:space="preserve">Alliance Raid with Rachel Cole-Alves</t>
  </si>
  <si>
    <t xml:space="preserve">Alliance Raid with Rachel Cole-Alves, 7 yellow stars, Gear Tier 20</t>
  </si>
  <si>
    <t xml:space="preserve">Alliance Raid with Spider-Man</t>
  </si>
  <si>
    <t xml:space="preserve">Alliance Raid with Spider-Man, 7 yellow stars</t>
  </si>
  <si>
    <t xml:space="preserve">Alliance Raid with Hulk</t>
  </si>
  <si>
    <t xml:space="preserve">Alliance Raid with Hulk, 7 yellow stars</t>
  </si>
  <si>
    <t xml:space="preserve">Alliance Raid with Yellowjacket</t>
  </si>
  <si>
    <t xml:space="preserve">Alliance Raid with Yellowjacket, 7 yellow stars</t>
  </si>
  <si>
    <t xml:space="preserve">Alliance Raid with Crossbones</t>
  </si>
  <si>
    <t xml:space="preserve">Alliance Raid with Crossbones, 7 yellow stars</t>
  </si>
  <si>
    <t xml:space="preserve">Alliance Raid with Whiplash</t>
  </si>
  <si>
    <t xml:space="preserve">Alliance Raid with Whiplash, 7 yellow stars, Gear Tier 20</t>
  </si>
  <si>
    <t xml:space="preserve">Alliance Raid with Ulysses Klaue</t>
  </si>
  <si>
    <t xml:space="preserve">Alliance Raid with Ulysses Klaue, 7 yellow stars, Gear Tier 20</t>
  </si>
  <si>
    <t xml:space="preserve">Alliance Raid with Iron Monger</t>
  </si>
  <si>
    <t xml:space="preserve">Alliance Raid with Iron Monger, 7 yellow stars, Gear Tier 20</t>
  </si>
  <si>
    <t xml:space="preserve">Blitz</t>
  </si>
  <si>
    <t xml:space="preserve">Blitz with Jocasta</t>
  </si>
  <si>
    <t xml:space="preserve">Blitz with Jocasta, 4 yellow stars</t>
  </si>
  <si>
    <t xml:space="preserve">Blitz with Jocasta, 7 yellow stars</t>
  </si>
  <si>
    <t xml:space="preserve">Upgrade Jocasta to Gear Tier 21</t>
  </si>
  <si>
    <t xml:space="preserve">Upgrade Jocasta to T4 Level 3 Iso-8</t>
  </si>
  <si>
    <t xml:space="preserve">Iron Raider</t>
  </si>
  <si>
    <t xml:space="preserve">Upgrade an Iron Raider to Gear Tier 20</t>
  </si>
  <si>
    <t xml:space="preserve">Upgrade an Iron Raider to Gear Tier 21</t>
  </si>
  <si>
    <t xml:space="preserve">Upgrade an Iron Raider to T3 Level 5 Iso-8</t>
  </si>
  <si>
    <t xml:space="preserve">Upgrade an Iron Raider to T4 Level 1 Iso-8</t>
  </si>
  <si>
    <t xml:space="preserve">Upgrade an Iron Raider to T4 Level 3 Iso-8</t>
  </si>
  <si>
    <t xml:space="preserve">Amazing Avenger</t>
  </si>
  <si>
    <t xml:space="preserve">Upgrade an Amazing Avenger to Gear Tier 20</t>
  </si>
  <si>
    <t xml:space="preserve">Upgrade an Amazing Avenger to Gear Tier 21</t>
  </si>
  <si>
    <t xml:space="preserve">Upgrade an Amazing Avenger to T3 Level 5 Iso-8</t>
  </si>
  <si>
    <t xml:space="preserve">Upgrade an Amazing Avenger to T4 Level 1 Iso-8</t>
  </si>
  <si>
    <t xml:space="preserve">Upgrade an Amazing Avenger to T4 Level 3 Iso-8</t>
  </si>
  <si>
    <t xml:space="preserve">Web store free claim, Oct 12 onward</t>
  </si>
  <si>
    <t xml:space="preserve">Offers</t>
  </si>
  <si>
    <t xml:space="preserve">Milestone points from select offers, includes free claims so far</t>
  </si>
  <si>
    <t xml:space="preserve">Unlimited</t>
  </si>
  <si>
    <t xml:space="preserve">Earned so far from listed tasks</t>
  </si>
  <si>
    <t xml:space="preserve">Points left, all tasks</t>
  </si>
  <si>
    <t xml:space="preserve">Points left, tasks planned</t>
  </si>
  <si>
    <t xml:space="preserve">One task, limit 100,000,000, was cut off in your screenshots and isn't listed.</t>
  </si>
  <si>
    <t xml:space="preserve">Resources</t>
  </si>
  <si>
    <t xml:space="preserve">Purple ions 1 to 3 follow the order on the Iso-8 screen, left to right. Update Current stock from the game. When something arrives, add it to your stock and set Received to Yes. Mark upgrades Done once finished.</t>
  </si>
  <si>
    <t xml:space="preserve">Summary</t>
  </si>
  <si>
    <t xml:space="preserve">Gold</t>
  </si>
  <si>
    <t xml:space="preserve">Purple ion 1</t>
  </si>
  <si>
    <t xml:space="preserve">Purple ion 2</t>
  </si>
  <si>
    <t xml:space="preserve">Purple ion 3</t>
  </si>
  <si>
    <t xml:space="preserve">Blue training</t>
  </si>
  <si>
    <t xml:space="preserve">Purple training</t>
  </si>
  <si>
    <t xml:space="preserve">Orange training</t>
  </si>
  <si>
    <t xml:space="preserve">Current stock</t>
  </si>
  <si>
    <t xml:space="preserve">Still coming</t>
  </si>
  <si>
    <t xml:space="preserve">Projected total</t>
  </si>
  <si>
    <t xml:space="preserve">Planned spending</t>
  </si>
  <si>
    <t xml:space="preserve">Left after plan</t>
  </si>
  <si>
    <t xml:space="preserve">Red means that resource runs out before the plan is done. Yellow blanks are costs to check in game.</t>
  </si>
  <si>
    <t xml:space="preserve">Coming in</t>
  </si>
  <si>
    <t xml:space="preserve">Source</t>
  </si>
  <si>
    <t xml:space="preserve">Count on it</t>
  </si>
  <si>
    <t xml:space="preserve">Received</t>
  </si>
  <si>
    <t xml:space="preserve">Today's remaining optional objectives</t>
  </si>
  <si>
    <t xml:space="preserve">Raid battles objective</t>
  </si>
  <si>
    <t xml:space="preserve">Daily objectives, Oct 12</t>
  </si>
  <si>
    <t xml:space="preserve">All Clear plus optional objectives</t>
  </si>
  <si>
    <t xml:space="preserve">Daily objectives, Oct 13</t>
  </si>
  <si>
    <t xml:space="preserve">Daily objectives, Oct 14</t>
  </si>
  <si>
    <t xml:space="preserve">Daily objectives, Oct 15</t>
  </si>
  <si>
    <t xml:space="preserve">Daily objectives, Oct 16</t>
  </si>
  <si>
    <t xml:space="preserve">Daily objectives, Oct 17</t>
  </si>
  <si>
    <t xml:space="preserve">Daily objectives, Oct 18</t>
  </si>
  <si>
    <t xml:space="preserve">Calendar day 14</t>
  </si>
  <si>
    <t xml:space="preserve">Calendar day 16</t>
  </si>
  <si>
    <t xml:space="preserve">Calendar day 20</t>
  </si>
  <si>
    <t xml:space="preserve">Likely the last day of Iron Vengeance</t>
  </si>
  <si>
    <t xml:space="preserve">Astral Radiance milestone 2</t>
  </si>
  <si>
    <t xml:space="preserve">Astral Radiance milestone 3</t>
  </si>
  <si>
    <t xml:space="preserve">Astral Radiance milestone 4</t>
  </si>
  <si>
    <t xml:space="preserve">Astral Radiance milestone 5</t>
  </si>
  <si>
    <t xml:space="preserve">Astral Radiance milestone 6</t>
  </si>
  <si>
    <t xml:space="preserve">Astral Radiance milestone 7</t>
  </si>
  <si>
    <t xml:space="preserve">Battle pass level 86</t>
  </si>
  <si>
    <t xml:space="preserve">Claimed Oct 11, in current stock</t>
  </si>
  <si>
    <t xml:space="preserve">Battle pass level 87</t>
  </si>
  <si>
    <t xml:space="preserve">Battle pass level 88</t>
  </si>
  <si>
    <t xml:space="preserve">Battle pass level 95, premium</t>
  </si>
  <si>
    <t xml:space="preserve">Battle pass level 97, premium</t>
  </si>
  <si>
    <t xml:space="preserve">Battle pass level 97</t>
  </si>
  <si>
    <t xml:space="preserve">Founding Force milestone 4</t>
  </si>
  <si>
    <t xml:space="preserve">Needs the battle pass level 100 token</t>
  </si>
  <si>
    <t xml:space="preserve">Iso Fest milestone 15</t>
  </si>
  <si>
    <t xml:space="preserve">Iso Fest milestone 16</t>
  </si>
  <si>
    <t xml:space="preserve">Reached Oct 12, ready to claim</t>
  </si>
  <si>
    <t xml:space="preserve">Iso Fest milestone 17</t>
  </si>
  <si>
    <t xml:space="preserve">VisionQuest level 30</t>
  </si>
  <si>
    <t xml:space="preserve">Expected about Oct 14. At level 15 now, +5 a day</t>
  </si>
  <si>
    <t xml:space="preserve">VisionQuest levels 35 and 40</t>
  </si>
  <si>
    <t xml:space="preserve">Expected about Oct 15 and 16. Ion types read from icons</t>
  </si>
  <si>
    <t xml:space="preserve">Kyln milestone 6</t>
  </si>
  <si>
    <t xml:space="preserve">Kyln tower, ends Nov 6. Set to Yes once reached</t>
  </si>
  <si>
    <t xml:space="preserve">Kyln milestone 11</t>
  </si>
  <si>
    <t xml:space="preserve">Kyln tower</t>
  </si>
  <si>
    <t xml:space="preserve">Kyln milestone 13</t>
  </si>
  <si>
    <t xml:space="preserve">Kyln milestones 16, 17 and 19</t>
  </si>
  <si>
    <t xml:space="preserve">Kyln tower. Ion type read from icons, confirm</t>
  </si>
  <si>
    <t xml:space="preserve">Gold Rush, Oct 12</t>
  </si>
  <si>
    <t xml:space="preserve">Claimed, 900K in current stock</t>
  </si>
  <si>
    <t xml:space="preserve">Gold Rush run</t>
  </si>
  <si>
    <t xml:space="preserve">Runs Sundays, Mondays and other days. Set to Yes on days it runs</t>
  </si>
  <si>
    <t xml:space="preserve">Training Day run</t>
  </si>
  <si>
    <t xml:space="preserve">Set to Yes on days it runs. Copy the row for more runs</t>
  </si>
  <si>
    <t xml:space="preserve">Level 110 gold orb, promo code Oct 11</t>
  </si>
  <si>
    <t xml:space="preserve">Level 110 gold orb, Breaker of Nature level 120</t>
  </si>
  <si>
    <t xml:space="preserve">Pending claim</t>
  </si>
  <si>
    <t xml:space="preserve">Breaker of Nature level 110</t>
  </si>
  <si>
    <t xml:space="preserve">Pending claim. Also gives the level 110 training orb</t>
  </si>
  <si>
    <t xml:space="preserve">Level 110 training orb</t>
  </si>
  <si>
    <t xml:space="preserve">Claimed Oct 11: 231 orange, in current stock</t>
  </si>
  <si>
    <t xml:space="preserve">Alliance War, Oct 13 to 14</t>
  </si>
  <si>
    <t xml:space="preserve">Defeat reward counted. A win doubles it to 272K each</t>
  </si>
  <si>
    <t xml:space="preserve">Breaker of Nature dailies, today</t>
  </si>
  <si>
    <t xml:space="preserve">Log in, play any battle, collect essence. 250K gold each</t>
  </si>
  <si>
    <t xml:space="preserve">Breaker of Nature dailies, Oct 12</t>
  </si>
  <si>
    <t xml:space="preserve">250K gold each, plus 3 levels</t>
  </si>
  <si>
    <t xml:space="preserve">Breaker of Nature dailies, Oct 13</t>
  </si>
  <si>
    <t xml:space="preserve">Breaker of Nature dailies, Oct 14</t>
  </si>
  <si>
    <t xml:space="preserve">Breaker of Nature dailies, Oct 15</t>
  </si>
  <si>
    <t xml:space="preserve">Breaker of Nature dailies, Oct 16</t>
  </si>
  <si>
    <t xml:space="preserve">Breaker of Nature dailies, Oct 17</t>
  </si>
  <si>
    <t xml:space="preserve">Breaker of Nature dailies, Oct 18</t>
  </si>
  <si>
    <t xml:space="preserve">Breaker of Nature level 130</t>
  </si>
  <si>
    <t xml:space="preserve">Expected Oct 12</t>
  </si>
  <si>
    <t xml:space="preserve">Breaker of Nature level 140</t>
  </si>
  <si>
    <t xml:space="preserve">Expected about Oct 15. Gives 2,000 gold orb fragments, one orb</t>
  </si>
  <si>
    <t xml:space="preserve">Campaign missions</t>
  </si>
  <si>
    <t xml:space="preserve">Running total. Fixed rewards per mission. Already in current stock</t>
  </si>
  <si>
    <t xml:space="preserve">Misc</t>
  </si>
  <si>
    <t xml:space="preserve">Running total of random drops and other small sources, including Jocasta orbs. Already in current stock</t>
  </si>
  <si>
    <t xml:space="preserve">Gold orbs</t>
  </si>
  <si>
    <t xml:space="preserve">Running total of basic gold orbs opened. Already in current stock</t>
  </si>
  <si>
    <t xml:space="preserve">Planned upgrades</t>
  </si>
  <si>
    <t xml:space="preserve">Upgrade</t>
  </si>
  <si>
    <t xml:space="preserve">Iron Monger to level 85</t>
  </si>
  <si>
    <t xml:space="preserve">Done</t>
  </si>
  <si>
    <t xml:space="preserve">Unlocks his raid task</t>
  </si>
  <si>
    <t xml:space="preserve">Iron Monger Iso-8 to T3 level 3</t>
  </si>
  <si>
    <t xml:space="preserve">Crossbones to level 85</t>
  </si>
  <si>
    <t xml:space="preserve">Done Oct 11</t>
  </si>
  <si>
    <t xml:space="preserve">Crossbones Iso-8 to T3 level 3</t>
  </si>
  <si>
    <t xml:space="preserve">Doctor Strange to level 101</t>
  </si>
  <si>
    <t xml:space="preserve">Skipped</t>
  </si>
  <si>
    <t xml:space="preserve">Astral team is low priority</t>
  </si>
  <si>
    <t xml:space="preserve">Whiplash to level 101</t>
  </si>
  <si>
    <t xml:space="preserve">Planned</t>
  </si>
  <si>
    <t xml:space="preserve">Expect about 1.65M gold and 164 orange, like Storm</t>
  </si>
  <si>
    <t xml:space="preserve">Storm to level 101</t>
  </si>
  <si>
    <t xml:space="preserve">Leveled Oct 12. Retry Spider-Man tower cell 20</t>
  </si>
  <si>
    <t xml:space="preserve">Beast to level 101</t>
  </si>
  <si>
    <t xml:space="preserve">Leveled Oct 12. Retry cell 20</t>
  </si>
  <si>
    <t xml:space="preserve">Third Uncanny Avenger to level 101</t>
  </si>
  <si>
    <t xml:space="preserve">If needed</t>
  </si>
  <si>
    <t xml:space="preserve">Only if cell 20 still fails. Needs battle pass level 95 orange</t>
  </si>
  <si>
    <t xml:space="preserve">Whiplash to gear tier 20</t>
  </si>
  <si>
    <t xml:space="preserve">Check cost in game</t>
  </si>
  <si>
    <t xml:space="preserve">Hulk Iso-8 to T3 level 5</t>
  </si>
  <si>
    <t xml:space="preserve">Done Oct 11, plus 500 ion 1 to unlock the T4 matrix</t>
  </si>
  <si>
    <t xml:space="preserve">Spider-Man Iso-8 to T3 level 5</t>
  </si>
  <si>
    <t xml:space="preserve">Done Oct 12, plus 500 ion 1 to unlock the T4 matrix</t>
  </si>
  <si>
    <t xml:space="preserve">Blade (Mighty) Iso-8 to T3 level 5</t>
  </si>
  <si>
    <t xml:space="preserve">Spider-Woman (Julia) Iso-8 to T3 level 5</t>
  </si>
  <si>
    <t xml:space="preserve">Rachel Cole-Alves Iso-8 to T3 level 5</t>
  </si>
  <si>
    <t xml:space="preserve">One Amazing Avenger to level 110</t>
  </si>
  <si>
    <t xml:space="preserve">Optional. Set to Planned if gold allows</t>
  </si>
  <si>
    <t xml:space="preserve">Event points from planned upgrades</t>
  </si>
  <si>
    <t xml:space="preserve">Dailies</t>
  </si>
  <si>
    <t xml:space="preserve">Mark each task Done from the dropdown. Objectives reset around 12:30 AM Eastern.</t>
  </si>
  <si>
    <t xml:space="preserve">Other reward</t>
  </si>
  <si>
    <t xml:space="preserve">Sun Oct 11</t>
  </si>
  <si>
    <t xml:space="preserve">Mon Oct 12</t>
  </si>
  <si>
    <t xml:space="preserve">Tue Oct 13</t>
  </si>
  <si>
    <t xml:space="preserve">Wed Oct 14</t>
  </si>
  <si>
    <t xml:space="preserve">Thu Oct 15</t>
  </si>
  <si>
    <t xml:space="preserve">Fri Oct 16</t>
  </si>
  <si>
    <t xml:space="preserve">Sat Oct 17</t>
  </si>
  <si>
    <t xml:space="preserve">Sun Oct 18</t>
  </si>
  <si>
    <t xml:space="preserve">Daily objectives</t>
  </si>
  <si>
    <t xml:space="preserve">Play 3 Heroes Assemble missions</t>
  </si>
  <si>
    <t xml:space="preserve">Required</t>
  </si>
  <si>
    <t xml:space="preserve">25 energy</t>
  </si>
  <si>
    <t xml:space="preserve">Play 3 Villains United missions</t>
  </si>
  <si>
    <t xml:space="preserve">100 items, 30 energy</t>
  </si>
  <si>
    <t xml:space="preserve">Auto Win 3 missions</t>
  </si>
  <si>
    <t xml:space="preserve">10 S.T.R.I.K.E. pass tokens</t>
  </si>
  <si>
    <t xml:space="preserve">Complete 2 Arena battles</t>
  </si>
  <si>
    <t xml:space="preserve">30 energy, 10 S.T.R.I.K.E. pass tokens</t>
  </si>
  <si>
    <t xml:space="preserve">Compete in 2 Blitz battles</t>
  </si>
  <si>
    <t xml:space="preserve">Finish 10 campaign missions</t>
  </si>
  <si>
    <t xml:space="preserve">Play 3 Iso-8 missions</t>
  </si>
  <si>
    <t xml:space="preserve">20 S.T.R.I.K.E. pass tokens</t>
  </si>
  <si>
    <t xml:space="preserve">Complete 2 challenges</t>
  </si>
  <si>
    <t xml:space="preserve">Open 2 orbs</t>
  </si>
  <si>
    <t xml:space="preserve">10 energy. Gold orbs count</t>
  </si>
  <si>
    <t xml:space="preserve">Make 3 supply purchases</t>
  </si>
  <si>
    <t xml:space="preserve">All Clear</t>
  </si>
  <si>
    <t xml:space="preserve">50 S.T.R.I.K.E. pass tokens and two more items</t>
  </si>
  <si>
    <t xml:space="preserve">Compete in 2 raid battles</t>
  </si>
  <si>
    <t xml:space="preserve">Optional</t>
  </si>
  <si>
    <t xml:space="preserve">60 S.T.R.I.K.E. pass tokens</t>
  </si>
  <si>
    <t xml:space="preserve">Spend 600 campaign energy</t>
  </si>
  <si>
    <t xml:space="preserve">30 S.T.R.I.K.E. pass tokens</t>
  </si>
  <si>
    <t xml:space="preserve">Spend 400 Iso-8 energy</t>
  </si>
  <si>
    <t xml:space="preserve">50 S.T.R.I.K.E. pass tokens</t>
  </si>
  <si>
    <t xml:space="preserve">Make 1 alliance donation</t>
  </si>
  <si>
    <t xml:space="preserve">40 S.T.R.I.K.E. pass tokens</t>
  </si>
  <si>
    <t xml:space="preserve">Daily challenges and rewards</t>
  </si>
  <si>
    <t xml:space="preserve">Free energy, 12 PM to 3 PM</t>
  </si>
  <si>
    <t xml:space="preserve">Energy</t>
  </si>
  <si>
    <t xml:space="preserve">Spend on missions for gold orb fragments</t>
  </si>
  <si>
    <t xml:space="preserve">Free energy, 6 PM to 9 PM</t>
  </si>
  <si>
    <t xml:space="preserve">Free energy, 9 PM to midnight</t>
  </si>
  <si>
    <t xml:space="preserve">Gold Rush, when available</t>
  </si>
  <si>
    <t xml:space="preserve">Challenge</t>
  </si>
  <si>
    <t xml:space="preserve">About 2,700 ability materials</t>
  </si>
  <si>
    <t xml:space="preserve">Training Day, when available</t>
  </si>
  <si>
    <t xml:space="preserve">30 purple and 90 orange training</t>
  </si>
  <si>
    <t xml:space="preserve">Collect monthly login calendar</t>
  </si>
  <si>
    <t xml:space="preserve">Login</t>
  </si>
  <si>
    <t xml:space="preserve">Varies by day</t>
  </si>
  <si>
    <t xml:space="preserve">Battle pass objectives, about 2 levels</t>
  </si>
  <si>
    <t xml:space="preserve">Battle pass</t>
  </si>
  <si>
    <t xml:space="preserve">Aim for level 100 by Oct 17</t>
  </si>
  <si>
    <t xml:space="preserve">Events</t>
  </si>
  <si>
    <t xml:space="preserve">Iron Vengeance: login and All Clear</t>
  </si>
  <si>
    <t xml:space="preserve">Event</t>
  </si>
  <si>
    <t xml:space="preserve">8 million points, automatic with All Clear</t>
  </si>
  <si>
    <t xml:space="preserve">Iron Vengeance: Iron Monger raid</t>
  </si>
  <si>
    <t xml:space="preserve">8 million points each, 5 total</t>
  </si>
  <si>
    <t xml:space="preserve">Iron Vengeance: Yellowjacket, Whiplash, Klaue raids</t>
  </si>
  <si>
    <t xml:space="preserve">Until their limits are full</t>
  </si>
  <si>
    <t xml:space="preserve">Daily Web Reward, web store</t>
  </si>
  <si>
    <t xml:space="preserve">Web store</t>
  </si>
  <si>
    <t xml:space="preserve">100 campaign and 50 Iso-8 energy; enough fragments for one training orb and one energy orb</t>
  </si>
  <si>
    <t xml:space="preserve">VisionQuest: spend 10 surge energy in A.I. Avengers campaign</t>
  </si>
  <si>
    <t xml:space="preserve">5 levels. Resets about 6:40 PM</t>
  </si>
  <si>
    <t xml:space="preserve">Iron Vengeance: free web store milestone points</t>
  </si>
  <si>
    <t xml:space="preserve">Claim daily in the web store</t>
  </si>
  <si>
    <t xml:space="preserve">Iso Fest: free web store milestone points</t>
  </si>
  <si>
    <t xml:space="preserve">Astral Radiance: Shadow King battle</t>
  </si>
  <si>
    <t xml:space="preserve">1,500 points each, 7 total</t>
  </si>
  <si>
    <t xml:space="preserve">Astral Radiance: Astral battles, about 5</t>
  </si>
  <si>
    <t xml:space="preserve">900 points each, 35 total</t>
  </si>
  <si>
    <t xml:space="preserve">Gold collected</t>
  </si>
  <si>
    <t xml:space="preserve">Objectives done, required</t>
  </si>
  <si>
    <t xml:space="preserve">Oct 11 and Oct 12 are filled in from your screenshots. The calendar and battle pass rows are left for you.</t>
  </si>
  <si>
    <t xml:space="preserve">Iso Fest Milestones</t>
  </si>
  <si>
    <t xml:space="preserve">Update Current points and set each Status from its dropdown. Ion columns follow the order on the Iso-8 screen, left to right. Data from your screenshots on Oct 11, 2026.</t>
  </si>
  <si>
    <t xml:space="preserve">Earn 5-Diamond Professor Xavier</t>
  </si>
  <si>
    <t xml:space="preserve">Purple ions still to claim</t>
  </si>
  <si>
    <t xml:space="preserve">Ion 1</t>
  </si>
  <si>
    <t xml:space="preserve">Ion 2</t>
  </si>
  <si>
    <t xml:space="preserve">Ion 3</t>
  </si>
  <si>
    <t xml:space="preserve">Up to target milestone</t>
  </si>
  <si>
    <t xml:space="preserve">Target milestone</t>
  </si>
  <si>
    <t xml:space="preserve">Points to target</t>
  </si>
  <si>
    <t xml:space="preserve">Points per day for target</t>
  </si>
  <si>
    <t xml:space="preserve">Character reward</t>
  </si>
  <si>
    <t xml:space="preserve">200K blue, 800K green nuggets</t>
  </si>
  <si>
    <t xml:space="preserve">600K blue nuggets</t>
  </si>
  <si>
    <t xml:space="preserve">400K blue nuggets; 1M, 1M, 1.72M blue ions</t>
  </si>
  <si>
    <t xml:space="preserve">Knull to 1 red star</t>
  </si>
  <si>
    <t xml:space="preserve">1M, 1M blue ions; 400K blue nuggets</t>
  </si>
  <si>
    <t xml:space="preserve">Professor Xavier to 1 red star</t>
  </si>
  <si>
    <t xml:space="preserve">1M, 1M, 3.45M blue ions</t>
  </si>
  <si>
    <t xml:space="preserve">Maestro to 1 red star</t>
  </si>
  <si>
    <t xml:space="preserve">2M, 1M blue ions; 450K blue nuggets</t>
  </si>
  <si>
    <t xml:space="preserve">Knull to 2 red stars</t>
  </si>
  <si>
    <t xml:space="preserve">2M, 1M, 3.45M blue ions</t>
  </si>
  <si>
    <t xml:space="preserve">Professor Xavier to 2 red stars</t>
  </si>
  <si>
    <t xml:space="preserve">2M, 2M, 3.45M blue ions</t>
  </si>
  <si>
    <t xml:space="preserve">Maestro to 2 red stars</t>
  </si>
  <si>
    <t xml:space="preserve">1 item; 2M, 3.45M blue ions</t>
  </si>
  <si>
    <t xml:space="preserve">100K purple nuggets</t>
  </si>
  <si>
    <t xml:space="preserve">Knull to 3 red stars</t>
  </si>
  <si>
    <t xml:space="preserve">400K purple nuggets</t>
  </si>
  <si>
    <t xml:space="preserve">Professor Xavier to 3 red stars</t>
  </si>
  <si>
    <t xml:space="preserve">Maestro to 3 red stars</t>
  </si>
  <si>
    <t xml:space="preserve">Knull to 4 red stars</t>
  </si>
  <si>
    <t xml:space="preserve">Professor Xavier to 4 red stars</t>
  </si>
  <si>
    <t xml:space="preserve">Maestro to 4 red stars</t>
  </si>
  <si>
    <t xml:space="preserve">Amounts cut off</t>
  </si>
  <si>
    <t xml:space="preserve">Knull to 5 red stars</t>
  </si>
  <si>
    <t xml:space="preserve">Professor Xavier to 5 red stars</t>
  </si>
  <si>
    <t xml:space="preserve">Maestro to 5 red stars</t>
  </si>
  <si>
    <t xml:space="preserve">Knull to 6 red stars</t>
  </si>
  <si>
    <t xml:space="preserve">Professor Xavier to 6 red stars</t>
  </si>
  <si>
    <t xml:space="preserve">Maestro to 6 red stars</t>
  </si>
  <si>
    <t xml:space="preserve">Knull to 7 red stars</t>
  </si>
  <si>
    <t xml:space="preserve">Professor Xavier to 7 red stars</t>
  </si>
  <si>
    <t xml:space="preserve">Maestro to 7 red stars</t>
  </si>
  <si>
    <t xml:space="preserve">Spider-Man (Superior) Diamond 1</t>
  </si>
  <si>
    <t xml:space="preserve">Knull Diamond 1</t>
  </si>
  <si>
    <t xml:space="preserve">Professor Xavier Diamond 1</t>
  </si>
  <si>
    <t xml:space="preserve">Spider-Man (Superior) Diamond 2</t>
  </si>
  <si>
    <t xml:space="preserve">Knull Diamond 2</t>
  </si>
  <si>
    <t xml:space="preserve">Professor Xavier Diamond 2</t>
  </si>
  <si>
    <t xml:space="preserve">Knull Diamond 3</t>
  </si>
  <si>
    <t xml:space="preserve">Professor Xavier Diamond 3</t>
  </si>
  <si>
    <t xml:space="preserve">Spider-Man (Superior) Diamond 3</t>
  </si>
  <si>
    <t xml:space="preserve">Knull Diamond 4</t>
  </si>
  <si>
    <t xml:space="preserve">Professor Xavier Diamond 4</t>
  </si>
  <si>
    <t xml:space="preserve">Spider-Man (Superior) Diamond 4</t>
  </si>
  <si>
    <t xml:space="preserve">Knull Diamond 5</t>
  </si>
  <si>
    <t xml:space="preserve">Professor Xavier Diamond 5</t>
  </si>
  <si>
    <t xml:space="preserve">Milestones 1 to 10 gave blue ions and nuggets, listed under Other reward. Milestone 18's amounts were cut off in your screenshot.</t>
  </si>
</sst>
</file>

<file path=xl/styles.xml><?xml version="1.0" encoding="utf-8"?>
<styleSheet xmlns="http://schemas.openxmlformats.org/spreadsheetml/2006/main">
  <numFmts count="5">
    <numFmt numFmtId="164" formatCode="General"/>
    <numFmt numFmtId="165" formatCode="#,##0;\-#,##0;\-"/>
    <numFmt numFmtId="166" formatCode="#,##0"/>
    <numFmt numFmtId="167" formatCode="General"/>
    <numFmt numFmtId="168" formatCode="mmm\ d&quot;, &quot;h:mm\ AM/PM"/>
  </numFmts>
  <fonts count="15">
    <font>
      <sz val="11"/>
      <color theme="1"/>
      <name val="Calibri"/>
      <family val="2"/>
      <charset val="1"/>
    </font>
    <font>
      <sz val="10"/>
      <name val="Arial"/>
      <family val="0"/>
    </font>
    <font>
      <sz val="10"/>
      <name val="Arial"/>
      <family val="0"/>
    </font>
    <font>
      <sz val="10"/>
      <name val="Arial"/>
      <family val="0"/>
    </font>
    <font>
      <b val="true"/>
      <sz val="14"/>
      <name val="Arial"/>
      <family val="0"/>
      <charset val="1"/>
    </font>
    <font>
      <i val="true"/>
      <sz val="11"/>
      <color rgb="FF595959"/>
      <name val="Arial"/>
      <family val="0"/>
      <charset val="1"/>
    </font>
    <font>
      <b val="true"/>
      <sz val="11"/>
      <color rgb="FFFFFFFF"/>
      <name val="Arial"/>
      <family val="0"/>
      <charset val="1"/>
    </font>
    <font>
      <sz val="11"/>
      <color rgb="FF0000FF"/>
      <name val="Arial"/>
      <family val="0"/>
      <charset val="1"/>
    </font>
    <font>
      <sz val="11"/>
      <color rgb="FF000000"/>
      <name val="Arial"/>
      <family val="0"/>
      <charset val="1"/>
    </font>
    <font>
      <sz val="11"/>
      <color rgb="FF595959"/>
      <name val="Arial"/>
      <family val="0"/>
      <charset val="1"/>
    </font>
    <font>
      <b val="true"/>
      <sz val="11"/>
      <name val="Arial"/>
      <family val="0"/>
      <charset val="1"/>
    </font>
    <font>
      <b val="true"/>
      <sz val="11"/>
      <color rgb="FF0000FF"/>
      <name val="Arial"/>
      <family val="0"/>
      <charset val="1"/>
    </font>
    <font>
      <b val="true"/>
      <sz val="12"/>
      <name val="Arial"/>
      <family val="0"/>
      <charset val="1"/>
    </font>
    <font>
      <sz val="11"/>
      <name val="Arial"/>
      <family val="0"/>
      <charset val="1"/>
    </font>
    <font>
      <b val="true"/>
      <sz val="11"/>
      <color rgb="FF1F3864"/>
      <name val="Arial"/>
      <family val="0"/>
      <charset val="1"/>
    </font>
  </fonts>
  <fills count="4">
    <fill>
      <patternFill patternType="none"/>
    </fill>
    <fill>
      <patternFill patternType="gray125"/>
    </fill>
    <fill>
      <patternFill patternType="solid">
        <fgColor rgb="FF1F3864"/>
        <bgColor rgb="FF333333"/>
      </patternFill>
    </fill>
    <fill>
      <patternFill patternType="solid">
        <fgColor rgb="FFFFF2CC"/>
        <bgColor rgb="FFFFEB9C"/>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4">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2" borderId="0" xfId="0" applyFont="true" applyBorder="false" applyAlignment="true" applyProtection="false">
      <alignment horizontal="center" vertical="bottom" textRotation="0" wrapText="true" indent="0" shrinkToFit="false"/>
      <protection locked="true" hidden="false"/>
    </xf>
    <xf numFmtId="164" fontId="7" fillId="3" borderId="1" xfId="0" applyFont="true" applyBorder="true" applyAlignment="true" applyProtection="false">
      <alignment horizontal="general" vertical="top" textRotation="0" wrapText="false" indent="0" shrinkToFit="false"/>
      <protection locked="true" hidden="false"/>
    </xf>
    <xf numFmtId="164" fontId="8" fillId="0" borderId="1" xfId="0" applyFont="true" applyBorder="true" applyAlignment="true" applyProtection="false">
      <alignment horizontal="general" vertical="top" textRotation="0" wrapText="false" indent="0" shrinkToFit="false"/>
      <protection locked="true" hidden="false"/>
    </xf>
    <xf numFmtId="164" fontId="7" fillId="0" borderId="1" xfId="0" applyFont="true" applyBorder="true" applyAlignment="true" applyProtection="false">
      <alignment horizontal="general" vertical="top" textRotation="0" wrapText="false" indent="0" shrinkToFit="false"/>
      <protection locked="true" hidden="false"/>
    </xf>
    <xf numFmtId="164" fontId="8" fillId="0" borderId="1" xfId="0" applyFont="true" applyBorder="true" applyAlignment="true" applyProtection="false">
      <alignment horizontal="general" vertical="top" textRotation="0" wrapText="true" indent="0" shrinkToFit="false"/>
      <protection locked="true" hidden="false"/>
    </xf>
    <xf numFmtId="165" fontId="8" fillId="0" borderId="1" xfId="0" applyFont="true" applyBorder="true" applyAlignment="true" applyProtection="false">
      <alignment horizontal="general" vertical="top" textRotation="0" wrapText="false" indent="0" shrinkToFit="false"/>
      <protection locked="true" hidden="false"/>
    </xf>
    <xf numFmtId="164" fontId="9" fillId="0" borderId="1" xfId="0" applyFont="true" applyBorder="true" applyAlignment="true" applyProtection="false">
      <alignment horizontal="general" vertical="top" textRotation="0" wrapText="true" indent="0" shrinkToFit="false"/>
      <protection locked="true" hidden="false"/>
    </xf>
    <xf numFmtId="164" fontId="7" fillId="3" borderId="1" xfId="0" applyFont="true" applyBorder="true" applyAlignment="false" applyProtection="false">
      <alignment horizontal="general" vertical="bottom" textRotation="0" wrapText="false" indent="0" shrinkToFit="false"/>
      <protection locked="true" hidden="false"/>
    </xf>
    <xf numFmtId="164" fontId="7" fillId="0" borderId="1" xfId="0" applyFont="true" applyBorder="true" applyAlignment="false" applyProtection="false">
      <alignment horizontal="general" vertical="bottom" textRotation="0" wrapText="false" indent="0" shrinkToFit="false"/>
      <protection locked="true" hidden="false"/>
    </xf>
    <xf numFmtId="164" fontId="8" fillId="0" borderId="1" xfId="0" applyFont="true" applyBorder="true" applyAlignment="false" applyProtection="false">
      <alignment horizontal="general" vertical="bottom" textRotation="0" wrapText="false" indent="0" shrinkToFit="false"/>
      <protection locked="true" hidden="false"/>
    </xf>
    <xf numFmtId="166" fontId="7" fillId="0" borderId="1" xfId="0" applyFont="true" applyBorder="true" applyAlignment="false" applyProtection="false">
      <alignment horizontal="general" vertical="bottom" textRotation="0" wrapText="false" indent="0" shrinkToFit="false"/>
      <protection locked="true" hidden="false"/>
    </xf>
    <xf numFmtId="164" fontId="9" fillId="0" borderId="1" xfId="0" applyFont="true" applyBorder="true" applyAlignment="false" applyProtection="false">
      <alignment horizontal="general" vertical="bottom" textRotation="0" wrapText="fals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7" fontId="0" fillId="0" borderId="0" xfId="0" applyFont="false" applyBorder="false" applyAlignment="false" applyProtection="false">
      <alignment horizontal="general" vertical="bottom" textRotation="0" wrapText="false" indent="0" shrinkToFit="false"/>
      <protection locked="true" hidden="false"/>
    </xf>
    <xf numFmtId="168" fontId="0" fillId="0" borderId="0" xfId="0" applyFont="false" applyBorder="false" applyAlignment="false" applyProtection="false">
      <alignment horizontal="general" vertical="bottom" textRotation="0" wrapText="false" indent="0" shrinkToFit="false"/>
      <protection locked="true" hidden="false"/>
    </xf>
    <xf numFmtId="166" fontId="11" fillId="3" borderId="0" xfId="0" applyFont="true" applyBorder="false" applyAlignment="false" applyProtection="false">
      <alignment horizontal="general" vertical="bottom" textRotation="0" wrapText="false" indent="0" shrinkToFit="false"/>
      <protection locked="true" hidden="false"/>
    </xf>
    <xf numFmtId="166" fontId="10" fillId="0" borderId="0" xfId="0" applyFont="true" applyBorder="false" applyAlignment="false" applyProtection="false">
      <alignment horizontal="general" vertical="bottom" textRotation="0" wrapText="false" indent="0" shrinkToFit="false"/>
      <protection locked="true" hidden="false"/>
    </xf>
    <xf numFmtId="164" fontId="6" fillId="2" borderId="0" xfId="0" applyFont="true" applyBorder="false" applyAlignment="true" applyProtection="false">
      <alignment horizontal="center" vertical="bottom" textRotation="0" wrapText="false" indent="0" shrinkToFit="false"/>
      <protection locked="true" hidden="false"/>
    </xf>
    <xf numFmtId="166" fontId="8" fillId="0" borderId="1" xfId="0" applyFont="true" applyBorder="true" applyAlignment="false" applyProtection="false">
      <alignment horizontal="general" vertical="bottom" textRotation="0" wrapText="false" indent="0" shrinkToFit="false"/>
      <protection locked="true" hidden="false"/>
    </xf>
    <xf numFmtId="164" fontId="12" fillId="0" borderId="0" xfId="0" applyFont="true" applyBorder="false" applyAlignment="false" applyProtection="false">
      <alignment horizontal="general" vertical="bottom" textRotation="0" wrapText="false" indent="0" shrinkToFit="false"/>
      <protection locked="true" hidden="false"/>
    </xf>
    <xf numFmtId="165" fontId="8" fillId="0" borderId="1" xfId="0" applyFont="true" applyBorder="true" applyAlignment="false" applyProtection="false">
      <alignment horizontal="general" vertical="bottom" textRotation="0" wrapText="false" indent="0" shrinkToFit="false"/>
      <protection locked="true" hidden="false"/>
    </xf>
    <xf numFmtId="166" fontId="7" fillId="3" borderId="1" xfId="0" applyFont="true" applyBorder="true" applyAlignment="false" applyProtection="false">
      <alignment horizontal="general" vertical="bottom" textRotation="0" wrapText="false" indent="0" shrinkToFit="false"/>
      <protection locked="true" hidden="false"/>
    </xf>
    <xf numFmtId="164" fontId="8" fillId="0" borderId="1" xfId="0" applyFont="true" applyBorder="true" applyAlignment="true" applyProtection="false">
      <alignment horizontal="center" vertical="bottom" textRotation="0" wrapText="false" indent="0" shrinkToFit="false"/>
      <protection locked="true" hidden="false"/>
    </xf>
    <xf numFmtId="165" fontId="7" fillId="3" borderId="1" xfId="0" applyFont="true" applyBorder="true" applyAlignment="false" applyProtection="false">
      <alignment horizontal="general" vertical="bottom" textRotation="0" wrapText="false" indent="0" shrinkToFit="false"/>
      <protection locked="true" hidden="false"/>
    </xf>
    <xf numFmtId="165" fontId="13" fillId="0" borderId="1" xfId="0" applyFont="true" applyBorder="true" applyAlignment="false" applyProtection="false">
      <alignment horizontal="general" vertical="bottom" textRotation="0" wrapText="false" indent="0" shrinkToFit="false"/>
      <protection locked="true" hidden="false"/>
    </xf>
    <xf numFmtId="165" fontId="10" fillId="0" borderId="1" xfId="0" applyFont="true" applyBorder="true" applyAlignment="false" applyProtection="false">
      <alignment horizontal="general" vertical="bottom" textRotation="0" wrapText="false" indent="0" shrinkToFit="false"/>
      <protection locked="true" hidden="false"/>
    </xf>
    <xf numFmtId="165" fontId="7" fillId="0" borderId="1" xfId="0" applyFont="true" applyBorder="true" applyAlignment="false" applyProtection="false">
      <alignment horizontal="general" vertical="bottom" textRotation="0" wrapText="false" indent="0" shrinkToFit="false"/>
      <protection locked="true" hidden="false"/>
    </xf>
    <xf numFmtId="164" fontId="14" fillId="0" borderId="0" xfId="0" applyFont="true" applyBorder="false" applyAlignment="false" applyProtection="false">
      <alignment horizontal="general" vertical="bottom" textRotation="0" wrapText="false" indent="0" shrinkToFit="false"/>
      <protection locked="true" hidden="false"/>
    </xf>
    <xf numFmtId="164" fontId="7" fillId="3" borderId="1" xfId="0" applyFont="true" applyBorder="true" applyAlignment="true" applyProtection="false">
      <alignment horizontal="center" vertical="bottom" textRotation="0" wrapText="false" indent="0" shrinkToFit="false"/>
      <protection locked="true" hidden="false"/>
    </xf>
    <xf numFmtId="164" fontId="10" fillId="0" borderId="0" xfId="0" applyFont="true" applyBorder="false" applyAlignment="true" applyProtection="false">
      <alignment horizontal="center" vertical="bottom" textRotation="0" wrapText="false" indent="0" shrinkToFit="false"/>
      <protection locked="true" hidden="false"/>
    </xf>
    <xf numFmtId="164" fontId="11" fillId="3"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4">
    <dxf>
      <fill>
        <patternFill patternType="solid">
          <fgColor rgb="FF1F3864"/>
          <bgColor rgb="FF000000"/>
        </patternFill>
      </fill>
    </dxf>
    <dxf>
      <fill>
        <patternFill patternType="solid">
          <fgColor rgb="FFFFF2CC"/>
          <bgColor rgb="FF000000"/>
        </patternFill>
      </fill>
    </dxf>
    <dxf>
      <fill>
        <patternFill patternType="solid">
          <fgColor rgb="FF0000FF"/>
          <bgColor rgb="FF000000"/>
        </patternFill>
      </fill>
    </dxf>
    <dxf>
      <fill>
        <patternFill patternType="solid">
          <fgColor rgb="FFFFFFFF"/>
          <bgColor rgb="FF000000"/>
        </patternFill>
      </fill>
    </dxf>
    <dxf>
      <fill>
        <patternFill patternType="solid">
          <bgColor rgb="FF000000"/>
        </patternFill>
      </fill>
    </dxf>
    <dxf>
      <fill>
        <patternFill patternType="solid">
          <fgColor rgb="FF000000"/>
          <bgColor rgb="FF000000"/>
        </patternFill>
      </fill>
    </dxf>
    <dxf>
      <fill>
        <patternFill patternType="solid">
          <fgColor rgb="FFFFEB9C"/>
          <bgColor rgb="FF000000"/>
        </patternFill>
      </fill>
    </dxf>
    <dxf>
      <fill>
        <patternFill patternType="solid">
          <fgColor rgb="FF595959"/>
          <bgColor rgb="FF000000"/>
        </patternFill>
      </fill>
    </dxf>
    <dxf>
      <fill>
        <patternFill>
          <bgColor rgb="FFC6EFCE"/>
        </patternFill>
      </fill>
    </dxf>
    <dxf>
      <fill>
        <patternFill>
          <bgColor rgb="FFFFEB9C"/>
        </patternFill>
      </fill>
    </dxf>
    <dxf>
      <fill>
        <patternFill>
          <bgColor rgb="FFFFC7CE"/>
        </patternFill>
      </fill>
    </dxf>
    <dxf>
      <fill>
        <patternFill patternType="solid">
          <fgColor rgb="FFA6A6A6"/>
          <bgColor rgb="FF000000"/>
        </patternFill>
      </fill>
    </dxf>
    <dxf>
      <font>
        <name val="Arial"/>
        <charset val="1"/>
        <family val="0"/>
        <color rgb="FFA6A6A6"/>
      </font>
    </dxf>
    <dxf>
      <font>
        <name val="Arial"/>
        <charset val="1"/>
        <family val="0"/>
        <b val="1"/>
        <color rgb="FF9C0006"/>
      </font>
      <fill>
        <patternFill>
          <bgColor rgb="FFFFC7CE"/>
        </patternFill>
      </fill>
    </dxf>
  </dxfs>
  <colors>
    <indexedColors>
      <rgbColor rgb="FF000000"/>
      <rgbColor rgb="FFFFFFFF"/>
      <rgbColor rgb="FFFF0000"/>
      <rgbColor rgb="FF00FF00"/>
      <rgbColor rgb="FF0000FF"/>
      <rgbColor rgb="FFFFFF00"/>
      <rgbColor rgb="FFFF00FF"/>
      <rgbColor rgb="FF00FFFF"/>
      <rgbColor rgb="FF9C0006"/>
      <rgbColor rgb="FF008000"/>
      <rgbColor rgb="FF000080"/>
      <rgbColor rgb="FF808000"/>
      <rgbColor rgb="FF800080"/>
      <rgbColor rgb="FF008080"/>
      <rgbColor rgb="FFBFBFBF"/>
      <rgbColor rgb="FF808080"/>
      <rgbColor rgb="FF9999FF"/>
      <rgbColor rgb="FF993366"/>
      <rgbColor rgb="FFFFF2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6EFCE"/>
      <rgbColor rgb="FFFFEB9C"/>
      <rgbColor rgb="FF99CCFF"/>
      <rgbColor rgb="FFFF99CC"/>
      <rgbColor rgb="FFCC99FF"/>
      <rgbColor rgb="FFFFC7CE"/>
      <rgbColor rgb="FF3366FF"/>
      <rgbColor rgb="FF33CCCC"/>
      <rgbColor rgb="FF99CC00"/>
      <rgbColor rgb="FFFFCC00"/>
      <rgbColor rgb="FFFF9900"/>
      <rgbColor rgb="FFFF6600"/>
      <rgbColor rgb="FF595959"/>
      <rgbColor rgb="FFA6A6A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_rels/sheet2.xml.rels><?xml version="1.0" encoding="UTF-8"?>
<Relationships xmlns="http://schemas.openxmlformats.org/package/2006/relationships"><Relationship Id="rId1" Type="http://schemas.openxmlformats.org/officeDocument/2006/relationships/drawing" Target="../drawings/drawing2.xml"/>
</Relationships>
</file>

<file path=xl/worksheets/_rels/sheet5.xml.rels><?xml version="1.0" encoding="UTF-8"?>
<Relationships xmlns="http://schemas.openxmlformats.org/package/2006/relationships"><Relationship Id="rId1" Type="http://schemas.openxmlformats.org/officeDocument/2006/relationships/drawing" Target="../drawings/drawing3.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29"/>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9"/>
    <col collapsed="false" customWidth="true" hidden="false" outlineLevel="0" max="2" min="2" style="0" width="22"/>
    <col collapsed="false" customWidth="true" hidden="false" outlineLevel="0" max="3" min="3" style="0" width="16"/>
    <col collapsed="false" customWidth="true" hidden="false" outlineLevel="0" max="4" min="4" style="0" width="8"/>
    <col collapsed="false" customWidth="true" hidden="false" outlineLevel="0" max="6" min="5" style="0" width="9"/>
    <col collapsed="false" customWidth="true" hidden="false" outlineLevel="0" max="7" min="7" style="0" width="30"/>
    <col collapsed="false" customWidth="true" hidden="false" outlineLevel="0" max="8" min="8" style="0" width="34"/>
    <col collapsed="false" customWidth="true" hidden="false" outlineLevel="0" max="9" min="9" style="0" width="13"/>
    <col collapsed="false" customWidth="true" hidden="false" outlineLevel="0" max="10" min="10" style="0" width="26"/>
    <col collapsed="false" customWidth="true" hidden="false" outlineLevel="0" max="11" min="11" style="0" width="13"/>
    <col collapsed="false" customWidth="true" hidden="false" outlineLevel="0" max="12" min="12" style="0" width="36"/>
  </cols>
  <sheetData>
    <row r="1" customFormat="false" ht="17.35" hidden="false" customHeight="false" outlineLevel="0" collapsed="false">
      <c r="A1" s="1" t="s">
        <v>0</v>
      </c>
    </row>
    <row r="2" customFormat="false" ht="15" hidden="false" customHeight="false" outlineLevel="0" collapsed="false">
      <c r="A2" s="2" t="s">
        <v>1</v>
      </c>
    </row>
    <row r="4" customFormat="false" ht="26.85" hidden="false" customHeight="false" outlineLevel="0" collapsed="false">
      <c r="A4" s="3" t="s">
        <v>2</v>
      </c>
      <c r="B4" s="3" t="s">
        <v>3</v>
      </c>
      <c r="C4" s="3" t="s">
        <v>4</v>
      </c>
      <c r="D4" s="3" t="s">
        <v>5</v>
      </c>
      <c r="E4" s="3" t="s">
        <v>6</v>
      </c>
      <c r="F4" s="3" t="s">
        <v>7</v>
      </c>
      <c r="G4" s="3" t="s">
        <v>8</v>
      </c>
      <c r="H4" s="3" t="s">
        <v>9</v>
      </c>
      <c r="I4" s="3" t="s">
        <v>10</v>
      </c>
      <c r="J4" s="3" t="s">
        <v>11</v>
      </c>
      <c r="K4" s="3" t="s">
        <v>12</v>
      </c>
      <c r="L4" s="3" t="s">
        <v>13</v>
      </c>
    </row>
    <row r="5" customFormat="false" ht="26.85" hidden="false" customHeight="false" outlineLevel="0" collapsed="false">
      <c r="A5" s="4" t="n">
        <v>1</v>
      </c>
      <c r="B5" s="5" t="s">
        <v>14</v>
      </c>
      <c r="C5" s="5" t="s">
        <v>15</v>
      </c>
      <c r="D5" s="6" t="n">
        <v>85</v>
      </c>
      <c r="E5" s="6" t="n">
        <v>1</v>
      </c>
      <c r="F5" s="6" t="s">
        <v>16</v>
      </c>
      <c r="G5" s="7" t="s">
        <v>17</v>
      </c>
      <c r="H5" s="7" t="s">
        <v>18</v>
      </c>
      <c r="I5" s="8" t="n">
        <v>40000000</v>
      </c>
      <c r="J5" s="7" t="s">
        <v>19</v>
      </c>
      <c r="K5" s="4" t="s">
        <v>20</v>
      </c>
      <c r="L5" s="9" t="s">
        <v>21</v>
      </c>
    </row>
    <row r="6" customFormat="false" ht="26.85" hidden="false" customHeight="false" outlineLevel="0" collapsed="false">
      <c r="A6" s="4" t="n">
        <v>2</v>
      </c>
      <c r="B6" s="5" t="s">
        <v>22</v>
      </c>
      <c r="C6" s="5" t="s">
        <v>15</v>
      </c>
      <c r="D6" s="6" t="n">
        <v>85</v>
      </c>
      <c r="E6" s="6" t="n">
        <v>1</v>
      </c>
      <c r="F6" s="6" t="s">
        <v>16</v>
      </c>
      <c r="G6" s="7" t="s">
        <v>17</v>
      </c>
      <c r="H6" s="7" t="s">
        <v>23</v>
      </c>
      <c r="I6" s="8" t="n">
        <v>0</v>
      </c>
      <c r="J6" s="7" t="s">
        <v>24</v>
      </c>
      <c r="K6" s="4" t="s">
        <v>25</v>
      </c>
      <c r="L6" s="9" t="s">
        <v>26</v>
      </c>
    </row>
    <row r="7" customFormat="false" ht="26.85" hidden="false" customHeight="false" outlineLevel="0" collapsed="false">
      <c r="A7" s="4" t="n">
        <v>3</v>
      </c>
      <c r="B7" s="5" t="s">
        <v>27</v>
      </c>
      <c r="C7" s="5" t="s">
        <v>15</v>
      </c>
      <c r="D7" s="6" t="n">
        <v>100</v>
      </c>
      <c r="E7" s="6" t="n">
        <v>19</v>
      </c>
      <c r="F7" s="6" t="s">
        <v>16</v>
      </c>
      <c r="G7" s="7" t="s">
        <v>28</v>
      </c>
      <c r="H7" s="7" t="s">
        <v>29</v>
      </c>
      <c r="I7" s="8" t="n">
        <v>20000000</v>
      </c>
      <c r="J7" s="7" t="s">
        <v>30</v>
      </c>
      <c r="K7" s="4" t="s">
        <v>25</v>
      </c>
      <c r="L7" s="9" t="s">
        <v>31</v>
      </c>
    </row>
    <row r="8" customFormat="false" ht="26.85" hidden="false" customHeight="false" outlineLevel="0" collapsed="false">
      <c r="A8" s="4" t="n">
        <v>4</v>
      </c>
      <c r="B8" s="5" t="s">
        <v>32</v>
      </c>
      <c r="C8" s="5" t="s">
        <v>15</v>
      </c>
      <c r="D8" s="6" t="n">
        <v>95</v>
      </c>
      <c r="E8" s="6" t="n">
        <v>18</v>
      </c>
      <c r="F8" s="6" t="s">
        <v>16</v>
      </c>
      <c r="G8" s="7" t="s">
        <v>17</v>
      </c>
      <c r="H8" s="7" t="s">
        <v>33</v>
      </c>
      <c r="I8" s="8" t="n">
        <v>3000000</v>
      </c>
      <c r="J8" s="7" t="s">
        <v>34</v>
      </c>
      <c r="K8" s="4" t="s">
        <v>25</v>
      </c>
      <c r="L8" s="9" t="s">
        <v>35</v>
      </c>
    </row>
    <row r="9" customFormat="false" ht="26.85" hidden="false" customHeight="false" outlineLevel="0" collapsed="false">
      <c r="A9" s="4" t="n">
        <v>5</v>
      </c>
      <c r="B9" s="5" t="s">
        <v>36</v>
      </c>
      <c r="C9" s="5" t="s">
        <v>15</v>
      </c>
      <c r="D9" s="6" t="n">
        <v>85</v>
      </c>
      <c r="E9" s="6" t="n">
        <v>7</v>
      </c>
      <c r="F9" s="6" t="s">
        <v>16</v>
      </c>
      <c r="G9" s="7" t="s">
        <v>37</v>
      </c>
      <c r="H9" s="7" t="s">
        <v>38</v>
      </c>
      <c r="I9" s="8" t="n">
        <v>15000000</v>
      </c>
      <c r="J9" s="7" t="s">
        <v>39</v>
      </c>
      <c r="K9" s="4" t="s">
        <v>20</v>
      </c>
      <c r="L9" s="9" t="s">
        <v>21</v>
      </c>
    </row>
    <row r="10" customFormat="false" ht="39.55" hidden="false" customHeight="false" outlineLevel="0" collapsed="false">
      <c r="A10" s="4" t="n">
        <v>6</v>
      </c>
      <c r="B10" s="5" t="s">
        <v>40</v>
      </c>
      <c r="C10" s="5" t="s">
        <v>41</v>
      </c>
      <c r="D10" s="6" t="n">
        <v>105</v>
      </c>
      <c r="E10" s="6" t="n">
        <v>20</v>
      </c>
      <c r="F10" s="6" t="s">
        <v>42</v>
      </c>
      <c r="G10" s="7" t="s">
        <v>43</v>
      </c>
      <c r="H10" s="7" t="s">
        <v>44</v>
      </c>
      <c r="I10" s="8" t="n">
        <v>150000000</v>
      </c>
      <c r="J10" s="7" t="s">
        <v>45</v>
      </c>
      <c r="K10" s="4" t="s">
        <v>20</v>
      </c>
      <c r="L10" s="9" t="s">
        <v>46</v>
      </c>
    </row>
    <row r="11" customFormat="false" ht="26.85" hidden="false" customHeight="false" outlineLevel="0" collapsed="false">
      <c r="A11" s="4" t="n">
        <v>7</v>
      </c>
      <c r="B11" s="5" t="s">
        <v>47</v>
      </c>
      <c r="C11" s="5" t="s">
        <v>41</v>
      </c>
      <c r="D11" s="6" t="n">
        <v>105</v>
      </c>
      <c r="E11" s="6" t="n">
        <v>20</v>
      </c>
      <c r="F11" s="6" t="s">
        <v>42</v>
      </c>
      <c r="G11" s="7" t="s">
        <v>48</v>
      </c>
      <c r="H11" s="7" t="s">
        <v>44</v>
      </c>
      <c r="I11" s="8" t="n">
        <v>150000000</v>
      </c>
      <c r="J11" s="7" t="s">
        <v>45</v>
      </c>
      <c r="K11" s="4" t="s">
        <v>20</v>
      </c>
      <c r="L11" s="9" t="s">
        <v>49</v>
      </c>
    </row>
    <row r="12" customFormat="false" ht="26.85" hidden="false" customHeight="false" outlineLevel="0" collapsed="false">
      <c r="A12" s="4" t="n">
        <v>8</v>
      </c>
      <c r="B12" s="5" t="s">
        <v>50</v>
      </c>
      <c r="C12" s="5" t="s">
        <v>41</v>
      </c>
      <c r="D12" s="6" t="n">
        <v>105</v>
      </c>
      <c r="E12" s="4"/>
      <c r="F12" s="6" t="s">
        <v>51</v>
      </c>
      <c r="G12" s="7" t="s">
        <v>52</v>
      </c>
      <c r="H12" s="7" t="s">
        <v>53</v>
      </c>
      <c r="I12" s="8" t="n">
        <v>17000000</v>
      </c>
      <c r="J12" s="7" t="s">
        <v>54</v>
      </c>
      <c r="K12" s="4" t="s">
        <v>25</v>
      </c>
      <c r="L12" s="9" t="s">
        <v>55</v>
      </c>
    </row>
    <row r="13" customFormat="false" ht="26.85" hidden="false" customHeight="false" outlineLevel="0" collapsed="false">
      <c r="A13" s="4" t="n">
        <v>9</v>
      </c>
      <c r="B13" s="5" t="s">
        <v>56</v>
      </c>
      <c r="C13" s="5" t="s">
        <v>41</v>
      </c>
      <c r="D13" s="6" t="n">
        <v>105</v>
      </c>
      <c r="E13" s="6" t="n">
        <v>20</v>
      </c>
      <c r="F13" s="6" t="s">
        <v>51</v>
      </c>
      <c r="G13" s="7" t="s">
        <v>57</v>
      </c>
      <c r="H13" s="7" t="s">
        <v>53</v>
      </c>
      <c r="I13" s="8" t="n">
        <v>17000000</v>
      </c>
      <c r="J13" s="7" t="s">
        <v>54</v>
      </c>
      <c r="K13" s="4" t="s">
        <v>25</v>
      </c>
      <c r="L13" s="9" t="s">
        <v>58</v>
      </c>
    </row>
    <row r="14" customFormat="false" ht="26.85" hidden="false" customHeight="false" outlineLevel="0" collapsed="false">
      <c r="A14" s="4" t="n">
        <v>10</v>
      </c>
      <c r="B14" s="5" t="s">
        <v>59</v>
      </c>
      <c r="C14" s="5" t="s">
        <v>41</v>
      </c>
      <c r="D14" s="4"/>
      <c r="E14" s="4"/>
      <c r="F14" s="6" t="s">
        <v>51</v>
      </c>
      <c r="G14" s="7" t="s">
        <v>57</v>
      </c>
      <c r="H14" s="7" t="s">
        <v>53</v>
      </c>
      <c r="I14" s="8" t="n">
        <v>17000000</v>
      </c>
      <c r="J14" s="7" t="s">
        <v>54</v>
      </c>
      <c r="K14" s="4" t="s">
        <v>25</v>
      </c>
      <c r="L14" s="9" t="s">
        <v>60</v>
      </c>
    </row>
    <row r="15" customFormat="false" ht="26.85" hidden="false" customHeight="false" outlineLevel="0" collapsed="false">
      <c r="A15" s="4" t="n">
        <v>11</v>
      </c>
      <c r="B15" s="5" t="s">
        <v>61</v>
      </c>
      <c r="C15" s="5" t="s">
        <v>62</v>
      </c>
      <c r="D15" s="6" t="n">
        <v>105</v>
      </c>
      <c r="E15" s="6" t="n">
        <v>20</v>
      </c>
      <c r="F15" s="6" t="s">
        <v>42</v>
      </c>
      <c r="G15" s="7" t="s">
        <v>63</v>
      </c>
      <c r="H15" s="7" t="s">
        <v>64</v>
      </c>
      <c r="I15" s="8" t="n">
        <v>0</v>
      </c>
      <c r="J15" s="7"/>
      <c r="K15" s="4" t="s">
        <v>20</v>
      </c>
      <c r="L15" s="9" t="s">
        <v>65</v>
      </c>
    </row>
    <row r="16" customFormat="false" ht="39.55" hidden="false" customHeight="false" outlineLevel="0" collapsed="false">
      <c r="A16" s="4" t="n">
        <v>11</v>
      </c>
      <c r="B16" s="5" t="s">
        <v>66</v>
      </c>
      <c r="C16" s="5" t="s">
        <v>67</v>
      </c>
      <c r="D16" s="6" t="n">
        <v>1</v>
      </c>
      <c r="E16" s="6" t="n">
        <v>1</v>
      </c>
      <c r="F16" s="4"/>
      <c r="G16" s="7" t="s">
        <v>68</v>
      </c>
      <c r="H16" s="7" t="s">
        <v>69</v>
      </c>
      <c r="I16" s="8" t="n">
        <v>80000000</v>
      </c>
      <c r="J16" s="7" t="s">
        <v>70</v>
      </c>
      <c r="K16" s="4" t="s">
        <v>20</v>
      </c>
      <c r="L16" s="9" t="s">
        <v>71</v>
      </c>
    </row>
    <row r="17" customFormat="false" ht="15" hidden="false" customHeight="false" outlineLevel="0" collapsed="false">
      <c r="A17" s="4" t="n">
        <v>12</v>
      </c>
      <c r="B17" s="5" t="s">
        <v>72</v>
      </c>
      <c r="C17" s="5" t="s">
        <v>73</v>
      </c>
      <c r="D17" s="6" t="n">
        <v>100</v>
      </c>
      <c r="E17" s="4"/>
      <c r="F17" s="4"/>
      <c r="G17" s="7" t="s">
        <v>74</v>
      </c>
      <c r="H17" s="7" t="s">
        <v>75</v>
      </c>
      <c r="I17" s="8" t="n">
        <v>3000000</v>
      </c>
      <c r="J17" s="7" t="s">
        <v>34</v>
      </c>
      <c r="K17" s="4" t="s">
        <v>25</v>
      </c>
      <c r="L17" s="9" t="s">
        <v>76</v>
      </c>
    </row>
    <row r="18" customFormat="false" ht="26.85" hidden="false" customHeight="false" outlineLevel="0" collapsed="false">
      <c r="A18" s="4" t="n">
        <v>13</v>
      </c>
      <c r="B18" s="5" t="s">
        <v>77</v>
      </c>
      <c r="C18" s="5" t="s">
        <v>73</v>
      </c>
      <c r="D18" s="6" t="n">
        <v>80</v>
      </c>
      <c r="E18" s="4"/>
      <c r="F18" s="6" t="s">
        <v>51</v>
      </c>
      <c r="G18" s="7"/>
      <c r="H18" s="7" t="s">
        <v>78</v>
      </c>
      <c r="I18" s="8" t="n">
        <v>0</v>
      </c>
      <c r="J18" s="7"/>
      <c r="K18" s="4" t="s">
        <v>25</v>
      </c>
      <c r="L18" s="9" t="s">
        <v>79</v>
      </c>
    </row>
    <row r="19" customFormat="false" ht="15" hidden="false" customHeight="false" outlineLevel="0" collapsed="false">
      <c r="A19" s="4" t="n">
        <v>13</v>
      </c>
      <c r="B19" s="5" t="s">
        <v>80</v>
      </c>
      <c r="C19" s="5" t="s">
        <v>73</v>
      </c>
      <c r="D19" s="6" t="n">
        <v>60</v>
      </c>
      <c r="E19" s="4"/>
      <c r="F19" s="4"/>
      <c r="G19" s="7"/>
      <c r="H19" s="7" t="s">
        <v>78</v>
      </c>
      <c r="I19" s="8" t="n">
        <v>0</v>
      </c>
      <c r="J19" s="7"/>
      <c r="K19" s="4" t="s">
        <v>25</v>
      </c>
      <c r="L19" s="9"/>
    </row>
    <row r="20" customFormat="false" ht="15" hidden="false" customHeight="false" outlineLevel="0" collapsed="false">
      <c r="A20" s="4" t="n">
        <v>13</v>
      </c>
      <c r="B20" s="5" t="s">
        <v>81</v>
      </c>
      <c r="C20" s="5" t="s">
        <v>73</v>
      </c>
      <c r="D20" s="6" t="n">
        <v>105</v>
      </c>
      <c r="E20" s="4"/>
      <c r="F20" s="6" t="s">
        <v>51</v>
      </c>
      <c r="G20" s="7"/>
      <c r="H20" s="7" t="s">
        <v>78</v>
      </c>
      <c r="I20" s="8" t="n">
        <v>0</v>
      </c>
      <c r="J20" s="7"/>
      <c r="K20" s="4" t="s">
        <v>25</v>
      </c>
      <c r="L20" s="9"/>
    </row>
    <row r="21" customFormat="false" ht="15" hidden="false" customHeight="false" outlineLevel="0" collapsed="false">
      <c r="A21" s="4" t="n">
        <v>13</v>
      </c>
      <c r="B21" s="5" t="s">
        <v>82</v>
      </c>
      <c r="C21" s="5" t="s">
        <v>73</v>
      </c>
      <c r="D21" s="6" t="n">
        <v>105</v>
      </c>
      <c r="E21" s="4"/>
      <c r="F21" s="6" t="s">
        <v>51</v>
      </c>
      <c r="G21" s="7"/>
      <c r="H21" s="7" t="s">
        <v>78</v>
      </c>
      <c r="I21" s="8" t="n">
        <v>0</v>
      </c>
      <c r="J21" s="7"/>
      <c r="K21" s="4" t="s">
        <v>25</v>
      </c>
      <c r="L21" s="9" t="s">
        <v>83</v>
      </c>
    </row>
    <row r="22" customFormat="false" ht="15" hidden="false" customHeight="false" outlineLevel="0" collapsed="false">
      <c r="A22" s="10"/>
      <c r="B22" s="11"/>
      <c r="C22" s="11"/>
      <c r="D22" s="11"/>
      <c r="E22" s="11"/>
      <c r="F22" s="11"/>
      <c r="G22" s="11"/>
      <c r="H22" s="11"/>
      <c r="I22" s="11"/>
      <c r="J22" s="11"/>
      <c r="K22" s="10"/>
      <c r="L22" s="11"/>
    </row>
    <row r="23" customFormat="false" ht="15" hidden="false" customHeight="false" outlineLevel="0" collapsed="false">
      <c r="A23" s="10"/>
      <c r="B23" s="11"/>
      <c r="C23" s="11"/>
      <c r="D23" s="11"/>
      <c r="E23" s="11"/>
      <c r="F23" s="11"/>
      <c r="G23" s="11"/>
      <c r="H23" s="11"/>
      <c r="I23" s="11"/>
      <c r="J23" s="11"/>
      <c r="K23" s="10"/>
      <c r="L23" s="11"/>
    </row>
    <row r="24" customFormat="false" ht="15" hidden="false" customHeight="false" outlineLevel="0" collapsed="false">
      <c r="A24" s="10"/>
      <c r="B24" s="11"/>
      <c r="C24" s="11"/>
      <c r="D24" s="11"/>
      <c r="E24" s="11"/>
      <c r="F24" s="11"/>
      <c r="G24" s="11"/>
      <c r="H24" s="11"/>
      <c r="I24" s="11"/>
      <c r="J24" s="11"/>
      <c r="K24" s="10"/>
      <c r="L24" s="11"/>
    </row>
    <row r="25" customFormat="false" ht="15" hidden="false" customHeight="false" outlineLevel="0" collapsed="false">
      <c r="A25" s="10"/>
      <c r="B25" s="11"/>
      <c r="C25" s="11"/>
      <c r="D25" s="11"/>
      <c r="E25" s="11"/>
      <c r="F25" s="11"/>
      <c r="G25" s="11"/>
      <c r="H25" s="11"/>
      <c r="I25" s="11"/>
      <c r="J25" s="11"/>
      <c r="K25" s="10"/>
      <c r="L25" s="11"/>
    </row>
    <row r="26" customFormat="false" ht="15" hidden="false" customHeight="false" outlineLevel="0" collapsed="false">
      <c r="A26" s="10"/>
      <c r="B26" s="11"/>
      <c r="C26" s="11"/>
      <c r="D26" s="11"/>
      <c r="E26" s="11"/>
      <c r="F26" s="11"/>
      <c r="G26" s="11"/>
      <c r="H26" s="11"/>
      <c r="I26" s="11"/>
      <c r="J26" s="11"/>
      <c r="K26" s="10"/>
      <c r="L26" s="11"/>
    </row>
    <row r="27" customFormat="false" ht="15" hidden="false" customHeight="false" outlineLevel="0" collapsed="false">
      <c r="A27" s="10"/>
      <c r="B27" s="11"/>
      <c r="C27" s="11"/>
      <c r="D27" s="11"/>
      <c r="E27" s="11"/>
      <c r="F27" s="11"/>
      <c r="G27" s="11"/>
      <c r="H27" s="11"/>
      <c r="I27" s="11"/>
      <c r="J27" s="11"/>
      <c r="K27" s="10"/>
      <c r="L27" s="11"/>
    </row>
    <row r="29" customFormat="false" ht="15" hidden="false" customHeight="false" outlineLevel="0" collapsed="false">
      <c r="A29" s="2" t="s">
        <v>84</v>
      </c>
    </row>
  </sheetData>
  <autoFilter ref="A4:L27"/>
  <conditionalFormatting sqref="K5:K27">
    <cfRule type="cellIs" priority="2" operator="equal" aboveAverage="0" equalAverage="0" bottom="0" percent="0" rank="0" text="" dxfId="8">
      <formula>"Done"</formula>
    </cfRule>
    <cfRule type="cellIs" priority="3" operator="equal" aboveAverage="0" equalAverage="0" bottom="0" percent="0" rank="0" text="" dxfId="9">
      <formula>"In progress"</formula>
    </cfRule>
  </conditionalFormatting>
  <dataValidations count="1">
    <dataValidation allowBlank="true" errorStyle="stop" operator="between" showDropDown="false" showErrorMessage="false" showInputMessage="false" sqref="K5:K27" type="list">
      <formula1>"Not started,In progress,Done,Skipped"</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4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24"/>
    <col collapsed="false" customWidth="true" hidden="false" outlineLevel="0" max="2" min="2" style="0" width="8"/>
    <col collapsed="false" customWidth="true" hidden="false" outlineLevel="0" max="3" min="3" style="0" width="13"/>
    <col collapsed="false" customWidth="true" hidden="false" outlineLevel="0" max="4" min="4" style="0" width="24"/>
    <col collapsed="false" customWidth="true" hidden="false" outlineLevel="0" max="5" min="5" style="0" width="15"/>
    <col collapsed="false" customWidth="true" hidden="false" outlineLevel="0" max="6" min="6" style="0" width="26"/>
    <col collapsed="false" customWidth="true" hidden="false" outlineLevel="0" max="7" min="7" style="0" width="13"/>
    <col collapsed="false" customWidth="true" hidden="false" outlineLevel="0" max="8" min="8" style="0" width="9"/>
    <col collapsed="false" customWidth="true" hidden="false" outlineLevel="0" max="9" min="9" style="0" width="44"/>
  </cols>
  <sheetData>
    <row r="1" customFormat="false" ht="17.35" hidden="false" customHeight="false" outlineLevel="0" collapsed="false">
      <c r="A1" s="1" t="s">
        <v>85</v>
      </c>
    </row>
    <row r="2" customFormat="false" ht="15" hidden="false" customHeight="false" outlineLevel="0" collapsed="false">
      <c r="A2" s="2" t="s">
        <v>86</v>
      </c>
    </row>
    <row r="4" customFormat="false" ht="26.85" hidden="false" customHeight="false" outlineLevel="0" collapsed="false">
      <c r="A4" s="3" t="s">
        <v>3</v>
      </c>
      <c r="B4" s="3" t="s">
        <v>5</v>
      </c>
      <c r="C4" s="3" t="s">
        <v>87</v>
      </c>
      <c r="D4" s="3" t="s">
        <v>88</v>
      </c>
      <c r="E4" s="3" t="s">
        <v>89</v>
      </c>
      <c r="F4" s="3" t="s">
        <v>90</v>
      </c>
      <c r="G4" s="3" t="s">
        <v>91</v>
      </c>
      <c r="H4" s="3" t="s">
        <v>92</v>
      </c>
      <c r="I4" s="3" t="s">
        <v>13</v>
      </c>
    </row>
    <row r="5" customFormat="false" ht="15" hidden="false" customHeight="false" outlineLevel="0" collapsed="false">
      <c r="A5" s="12" t="s">
        <v>50</v>
      </c>
      <c r="B5" s="11" t="n">
        <v>105</v>
      </c>
      <c r="C5" s="13" t="n">
        <v>1739574</v>
      </c>
      <c r="D5" s="11" t="s">
        <v>93</v>
      </c>
      <c r="E5" s="11" t="s">
        <v>94</v>
      </c>
      <c r="F5" s="12" t="s">
        <v>41</v>
      </c>
      <c r="G5" s="10"/>
      <c r="H5" s="10"/>
      <c r="I5" s="14"/>
    </row>
    <row r="6" customFormat="false" ht="15" hidden="false" customHeight="false" outlineLevel="0" collapsed="false">
      <c r="A6" s="12" t="s">
        <v>95</v>
      </c>
      <c r="B6" s="11" t="n">
        <v>105</v>
      </c>
      <c r="C6" s="13" t="n">
        <v>1702227</v>
      </c>
      <c r="D6" s="11" t="s">
        <v>96</v>
      </c>
      <c r="E6" s="11" t="s">
        <v>97</v>
      </c>
      <c r="F6" s="12"/>
      <c r="G6" s="10"/>
      <c r="H6" s="10"/>
      <c r="I6" s="14"/>
    </row>
    <row r="7" customFormat="false" ht="15" hidden="false" customHeight="false" outlineLevel="0" collapsed="false">
      <c r="A7" s="12" t="s">
        <v>98</v>
      </c>
      <c r="B7" s="11" t="n">
        <v>105</v>
      </c>
      <c r="C7" s="13" t="n">
        <v>1663516</v>
      </c>
      <c r="D7" s="11" t="s">
        <v>99</v>
      </c>
      <c r="E7" s="11" t="s">
        <v>100</v>
      </c>
      <c r="F7" s="12"/>
      <c r="G7" s="10"/>
      <c r="H7" s="10"/>
      <c r="I7" s="14"/>
    </row>
    <row r="8" customFormat="false" ht="15" hidden="false" customHeight="false" outlineLevel="0" collapsed="false">
      <c r="A8" s="12" t="s">
        <v>101</v>
      </c>
      <c r="B8" s="11" t="n">
        <v>105</v>
      </c>
      <c r="C8" s="13" t="n">
        <v>1649971</v>
      </c>
      <c r="D8" s="11" t="s">
        <v>102</v>
      </c>
      <c r="E8" s="11" t="s">
        <v>103</v>
      </c>
      <c r="F8" s="12" t="s">
        <v>104</v>
      </c>
      <c r="G8" s="10"/>
      <c r="H8" s="10"/>
      <c r="I8" s="14" t="s">
        <v>105</v>
      </c>
    </row>
    <row r="9" customFormat="false" ht="15" hidden="false" customHeight="false" outlineLevel="0" collapsed="false">
      <c r="A9" s="12" t="s">
        <v>106</v>
      </c>
      <c r="B9" s="11" t="n">
        <v>105</v>
      </c>
      <c r="C9" s="13" t="n">
        <v>1461088</v>
      </c>
      <c r="D9" s="11" t="s">
        <v>96</v>
      </c>
      <c r="E9" s="11" t="s">
        <v>107</v>
      </c>
      <c r="F9" s="12"/>
      <c r="G9" s="10"/>
      <c r="H9" s="10"/>
      <c r="I9" s="14"/>
    </row>
    <row r="10" customFormat="false" ht="15" hidden="false" customHeight="false" outlineLevel="0" collapsed="false">
      <c r="A10" s="12" t="s">
        <v>108</v>
      </c>
      <c r="B10" s="11" t="n">
        <v>100</v>
      </c>
      <c r="C10" s="13" t="n">
        <v>1401716</v>
      </c>
      <c r="D10" s="11" t="s">
        <v>102</v>
      </c>
      <c r="E10" s="11" t="s">
        <v>109</v>
      </c>
      <c r="F10" s="12"/>
      <c r="G10" s="10"/>
      <c r="H10" s="10"/>
      <c r="I10" s="14"/>
    </row>
    <row r="11" customFormat="false" ht="15" hidden="false" customHeight="false" outlineLevel="0" collapsed="false">
      <c r="A11" s="12" t="s">
        <v>110</v>
      </c>
      <c r="B11" s="11" t="n">
        <v>100</v>
      </c>
      <c r="C11" s="13" t="n">
        <v>1341960</v>
      </c>
      <c r="D11" s="11" t="s">
        <v>102</v>
      </c>
      <c r="E11" s="11" t="s">
        <v>100</v>
      </c>
      <c r="F11" s="12"/>
      <c r="G11" s="10"/>
      <c r="H11" s="10"/>
      <c r="I11" s="14"/>
    </row>
    <row r="12" customFormat="false" ht="15" hidden="false" customHeight="false" outlineLevel="0" collapsed="false">
      <c r="A12" s="12" t="s">
        <v>111</v>
      </c>
      <c r="B12" s="11" t="n">
        <v>105</v>
      </c>
      <c r="C12" s="13" t="n">
        <v>1322529</v>
      </c>
      <c r="D12" s="11" t="s">
        <v>112</v>
      </c>
      <c r="E12" s="11" t="s">
        <v>100</v>
      </c>
      <c r="F12" s="12"/>
      <c r="G12" s="10"/>
      <c r="H12" s="10"/>
      <c r="I12" s="14"/>
    </row>
    <row r="13" customFormat="false" ht="15" hidden="false" customHeight="false" outlineLevel="0" collapsed="false">
      <c r="A13" s="12" t="s">
        <v>113</v>
      </c>
      <c r="B13" s="11" t="n">
        <v>105</v>
      </c>
      <c r="C13" s="13" t="n">
        <v>1238262</v>
      </c>
      <c r="D13" s="11" t="s">
        <v>93</v>
      </c>
      <c r="E13" s="11" t="s">
        <v>107</v>
      </c>
      <c r="F13" s="12"/>
      <c r="G13" s="10"/>
      <c r="H13" s="10"/>
      <c r="I13" s="14"/>
    </row>
    <row r="14" customFormat="false" ht="15" hidden="false" customHeight="false" outlineLevel="0" collapsed="false">
      <c r="A14" s="12" t="s">
        <v>114</v>
      </c>
      <c r="B14" s="11" t="n">
        <v>105</v>
      </c>
      <c r="C14" s="13" t="n">
        <v>1095153</v>
      </c>
      <c r="D14" s="11" t="s">
        <v>115</v>
      </c>
      <c r="E14" s="11" t="s">
        <v>116</v>
      </c>
      <c r="F14" s="12"/>
      <c r="G14" s="10"/>
      <c r="H14" s="10"/>
      <c r="I14" s="14"/>
    </row>
    <row r="15" customFormat="false" ht="15" hidden="false" customHeight="false" outlineLevel="0" collapsed="false">
      <c r="A15" s="12" t="s">
        <v>117</v>
      </c>
      <c r="B15" s="11" t="n">
        <v>103</v>
      </c>
      <c r="C15" s="13" t="n">
        <v>1062491</v>
      </c>
      <c r="D15" s="11" t="s">
        <v>96</v>
      </c>
      <c r="E15" s="11" t="s">
        <v>100</v>
      </c>
      <c r="F15" s="12"/>
      <c r="G15" s="10"/>
      <c r="H15" s="10"/>
      <c r="I15" s="14"/>
    </row>
    <row r="16" customFormat="false" ht="15" hidden="false" customHeight="false" outlineLevel="0" collapsed="false">
      <c r="A16" s="12" t="s">
        <v>118</v>
      </c>
      <c r="B16" s="11" t="n">
        <v>105</v>
      </c>
      <c r="C16" s="13" t="n">
        <v>1039168</v>
      </c>
      <c r="D16" s="11" t="s">
        <v>119</v>
      </c>
      <c r="E16" s="11" t="s">
        <v>120</v>
      </c>
      <c r="F16" s="12"/>
      <c r="G16" s="10"/>
      <c r="H16" s="10"/>
      <c r="I16" s="14"/>
    </row>
    <row r="17" customFormat="false" ht="15" hidden="false" customHeight="false" outlineLevel="0" collapsed="false">
      <c r="A17" s="12" t="s">
        <v>121</v>
      </c>
      <c r="B17" s="11" t="n">
        <v>104</v>
      </c>
      <c r="C17" s="13" t="n">
        <v>993737</v>
      </c>
      <c r="D17" s="11" t="s">
        <v>99</v>
      </c>
      <c r="E17" s="11" t="s">
        <v>116</v>
      </c>
      <c r="F17" s="12"/>
      <c r="G17" s="10"/>
      <c r="H17" s="10"/>
      <c r="I17" s="14"/>
    </row>
    <row r="18" customFormat="false" ht="15" hidden="false" customHeight="false" outlineLevel="0" collapsed="false">
      <c r="A18" s="12" t="s">
        <v>122</v>
      </c>
      <c r="B18" s="11" t="n">
        <v>100</v>
      </c>
      <c r="C18" s="13" t="n">
        <v>946060</v>
      </c>
      <c r="D18" s="11" t="s">
        <v>102</v>
      </c>
      <c r="E18" s="11" t="s">
        <v>107</v>
      </c>
      <c r="F18" s="12"/>
      <c r="G18" s="10"/>
      <c r="H18" s="10"/>
      <c r="I18" s="14"/>
    </row>
    <row r="19" customFormat="false" ht="15" hidden="false" customHeight="false" outlineLevel="0" collapsed="false">
      <c r="A19" s="12" t="s">
        <v>123</v>
      </c>
      <c r="B19" s="11" t="n">
        <v>105</v>
      </c>
      <c r="C19" s="13" t="n">
        <v>900021</v>
      </c>
      <c r="D19" s="11" t="s">
        <v>124</v>
      </c>
      <c r="E19" s="11" t="s">
        <v>116</v>
      </c>
      <c r="F19" s="12"/>
      <c r="G19" s="10"/>
      <c r="H19" s="10"/>
      <c r="I19" s="14"/>
    </row>
    <row r="20" customFormat="false" ht="15" hidden="false" customHeight="false" outlineLevel="0" collapsed="false">
      <c r="A20" s="12" t="s">
        <v>125</v>
      </c>
      <c r="B20" s="11" t="n">
        <v>100</v>
      </c>
      <c r="C20" s="13" t="n">
        <v>889970</v>
      </c>
      <c r="D20" s="11" t="s">
        <v>102</v>
      </c>
      <c r="E20" s="11" t="s">
        <v>116</v>
      </c>
      <c r="F20" s="12"/>
      <c r="G20" s="10"/>
      <c r="H20" s="10"/>
      <c r="I20" s="14"/>
    </row>
    <row r="21" customFormat="false" ht="15" hidden="false" customHeight="false" outlineLevel="0" collapsed="false">
      <c r="A21" s="12" t="s">
        <v>126</v>
      </c>
      <c r="B21" s="11" t="n">
        <v>100</v>
      </c>
      <c r="C21" s="13" t="n">
        <v>867448</v>
      </c>
      <c r="D21" s="11" t="s">
        <v>93</v>
      </c>
      <c r="E21" s="11" t="s">
        <v>107</v>
      </c>
      <c r="F21" s="12"/>
      <c r="G21" s="10"/>
      <c r="H21" s="10"/>
      <c r="I21" s="14"/>
    </row>
    <row r="22" customFormat="false" ht="15" hidden="false" customHeight="false" outlineLevel="0" collapsed="false">
      <c r="A22" s="12" t="s">
        <v>127</v>
      </c>
      <c r="B22" s="11" t="n">
        <v>100</v>
      </c>
      <c r="C22" s="13" t="n">
        <v>847430</v>
      </c>
      <c r="D22" s="11" t="s">
        <v>93</v>
      </c>
      <c r="E22" s="11" t="s">
        <v>107</v>
      </c>
      <c r="F22" s="12"/>
      <c r="G22" s="10"/>
      <c r="H22" s="10"/>
      <c r="I22" s="14"/>
    </row>
    <row r="23" customFormat="false" ht="15" hidden="false" customHeight="false" outlineLevel="0" collapsed="false">
      <c r="A23" s="12" t="s">
        <v>27</v>
      </c>
      <c r="B23" s="11" t="n">
        <v>100</v>
      </c>
      <c r="C23" s="13" t="n">
        <v>827833</v>
      </c>
      <c r="D23" s="11" t="s">
        <v>99</v>
      </c>
      <c r="E23" s="11" t="s">
        <v>116</v>
      </c>
      <c r="F23" s="12" t="s">
        <v>15</v>
      </c>
      <c r="G23" s="10"/>
      <c r="H23" s="10"/>
      <c r="I23" s="14" t="s">
        <v>128</v>
      </c>
    </row>
    <row r="24" customFormat="false" ht="15" hidden="false" customHeight="false" outlineLevel="0" collapsed="false">
      <c r="A24" s="12" t="s">
        <v>129</v>
      </c>
      <c r="B24" s="11" t="n">
        <v>101</v>
      </c>
      <c r="C24" s="13" t="n">
        <v>818549</v>
      </c>
      <c r="D24" s="11" t="s">
        <v>102</v>
      </c>
      <c r="E24" s="11" t="s">
        <v>100</v>
      </c>
      <c r="F24" s="12"/>
      <c r="G24" s="10"/>
      <c r="H24" s="10"/>
      <c r="I24" s="14"/>
    </row>
    <row r="25" customFormat="false" ht="15" hidden="false" customHeight="false" outlineLevel="0" collapsed="false">
      <c r="A25" s="12" t="s">
        <v>130</v>
      </c>
      <c r="B25" s="11" t="n">
        <v>103</v>
      </c>
      <c r="C25" s="13" t="n">
        <v>787184</v>
      </c>
      <c r="D25" s="11" t="s">
        <v>102</v>
      </c>
      <c r="E25" s="11" t="s">
        <v>100</v>
      </c>
      <c r="F25" s="12"/>
      <c r="G25" s="10"/>
      <c r="H25" s="10"/>
      <c r="I25" s="14"/>
    </row>
    <row r="26" customFormat="false" ht="15" hidden="false" customHeight="false" outlineLevel="0" collapsed="false">
      <c r="A26" s="12" t="s">
        <v>131</v>
      </c>
      <c r="B26" s="11" t="n">
        <v>96</v>
      </c>
      <c r="C26" s="13" t="n">
        <v>736328</v>
      </c>
      <c r="D26" s="11" t="s">
        <v>96</v>
      </c>
      <c r="E26" s="11" t="s">
        <v>107</v>
      </c>
      <c r="F26" s="12"/>
      <c r="G26" s="10"/>
      <c r="H26" s="10"/>
      <c r="I26" s="14"/>
    </row>
    <row r="27" customFormat="false" ht="15" hidden="false" customHeight="false" outlineLevel="0" collapsed="false">
      <c r="A27" s="12" t="s">
        <v>32</v>
      </c>
      <c r="B27" s="11" t="n">
        <v>95</v>
      </c>
      <c r="C27" s="13" t="n">
        <v>731016</v>
      </c>
      <c r="D27" s="11" t="s">
        <v>102</v>
      </c>
      <c r="E27" s="11" t="s">
        <v>116</v>
      </c>
      <c r="F27" s="12" t="s">
        <v>15</v>
      </c>
      <c r="G27" s="10"/>
      <c r="H27" s="10"/>
      <c r="I27" s="14" t="s">
        <v>132</v>
      </c>
    </row>
    <row r="28" customFormat="false" ht="15" hidden="false" customHeight="false" outlineLevel="0" collapsed="false">
      <c r="A28" s="12" t="s">
        <v>133</v>
      </c>
      <c r="B28" s="11" t="n">
        <v>95</v>
      </c>
      <c r="C28" s="13" t="n">
        <v>573611</v>
      </c>
      <c r="D28" s="11" t="s">
        <v>134</v>
      </c>
      <c r="E28" s="11" t="s">
        <v>116</v>
      </c>
      <c r="F28" s="12"/>
      <c r="G28" s="10"/>
      <c r="H28" s="10"/>
      <c r="I28" s="14"/>
    </row>
    <row r="29" customFormat="false" ht="15" hidden="false" customHeight="false" outlineLevel="0" collapsed="false">
      <c r="A29" s="12" t="s">
        <v>135</v>
      </c>
      <c r="B29" s="11" t="n">
        <v>100</v>
      </c>
      <c r="C29" s="13" t="n">
        <v>556594</v>
      </c>
      <c r="D29" s="11" t="s">
        <v>136</v>
      </c>
      <c r="E29" s="11" t="s">
        <v>100</v>
      </c>
      <c r="F29" s="12"/>
      <c r="G29" s="10"/>
      <c r="H29" s="10"/>
      <c r="I29" s="14"/>
    </row>
    <row r="30" customFormat="false" ht="15" hidden="false" customHeight="false" outlineLevel="0" collapsed="false">
      <c r="A30" s="12" t="s">
        <v>137</v>
      </c>
      <c r="B30" s="11" t="n">
        <v>95</v>
      </c>
      <c r="C30" s="13" t="n">
        <v>427837</v>
      </c>
      <c r="D30" s="11" t="s">
        <v>93</v>
      </c>
      <c r="E30" s="11" t="s">
        <v>116</v>
      </c>
      <c r="F30" s="12"/>
      <c r="G30" s="10"/>
      <c r="H30" s="10"/>
      <c r="I30" s="14"/>
    </row>
    <row r="31" customFormat="false" ht="15" hidden="false" customHeight="false" outlineLevel="0" collapsed="false">
      <c r="A31" s="12" t="s">
        <v>138</v>
      </c>
      <c r="B31" s="11" t="n">
        <v>90</v>
      </c>
      <c r="C31" s="13" t="n">
        <v>334475</v>
      </c>
      <c r="D31" s="11" t="s">
        <v>96</v>
      </c>
      <c r="E31" s="11" t="s">
        <v>116</v>
      </c>
      <c r="F31" s="12"/>
      <c r="G31" s="10"/>
      <c r="H31" s="10"/>
      <c r="I31" s="14"/>
    </row>
    <row r="32" customFormat="false" ht="15" hidden="false" customHeight="false" outlineLevel="0" collapsed="false">
      <c r="A32" s="12" t="s">
        <v>139</v>
      </c>
      <c r="B32" s="11" t="n">
        <v>95</v>
      </c>
      <c r="C32" s="13" t="n">
        <v>309062</v>
      </c>
      <c r="D32" s="11" t="s">
        <v>140</v>
      </c>
      <c r="E32" s="11" t="s">
        <v>116</v>
      </c>
      <c r="F32" s="12"/>
      <c r="G32" s="10"/>
      <c r="H32" s="10"/>
      <c r="I32" s="14"/>
    </row>
    <row r="33" customFormat="false" ht="15" hidden="false" customHeight="false" outlineLevel="0" collapsed="false">
      <c r="A33" s="12" t="s">
        <v>141</v>
      </c>
      <c r="B33" s="11" t="n">
        <v>90</v>
      </c>
      <c r="C33" s="13" t="n">
        <v>305523</v>
      </c>
      <c r="D33" s="11" t="s">
        <v>93</v>
      </c>
      <c r="E33" s="11" t="s">
        <v>107</v>
      </c>
      <c r="F33" s="12"/>
      <c r="G33" s="10"/>
      <c r="H33" s="10"/>
      <c r="I33" s="14"/>
    </row>
    <row r="34" customFormat="false" ht="15" hidden="false" customHeight="false" outlineLevel="0" collapsed="false">
      <c r="A34" s="12" t="s">
        <v>142</v>
      </c>
      <c r="B34" s="11" t="n">
        <v>95</v>
      </c>
      <c r="C34" s="13" t="n">
        <v>302615</v>
      </c>
      <c r="D34" s="11" t="s">
        <v>140</v>
      </c>
      <c r="E34" s="11" t="s">
        <v>116</v>
      </c>
      <c r="F34" s="12"/>
      <c r="G34" s="10"/>
      <c r="H34" s="10"/>
      <c r="I34" s="14"/>
    </row>
    <row r="35" customFormat="false" ht="15" hidden="false" customHeight="false" outlineLevel="0" collapsed="false">
      <c r="A35" s="12" t="s">
        <v>143</v>
      </c>
      <c r="B35" s="11" t="n">
        <v>90</v>
      </c>
      <c r="C35" s="13" t="n">
        <v>269160</v>
      </c>
      <c r="D35" s="11" t="s">
        <v>93</v>
      </c>
      <c r="E35" s="11" t="s">
        <v>116</v>
      </c>
      <c r="F35" s="12"/>
      <c r="G35" s="10"/>
      <c r="H35" s="10"/>
      <c r="I35" s="14"/>
    </row>
    <row r="36" customFormat="false" ht="15" hidden="false" customHeight="false" outlineLevel="0" collapsed="false">
      <c r="A36" s="12" t="s">
        <v>144</v>
      </c>
      <c r="B36" s="11" t="n">
        <v>80</v>
      </c>
      <c r="C36" s="13" t="n">
        <v>250273</v>
      </c>
      <c r="D36" s="11" t="s">
        <v>136</v>
      </c>
      <c r="E36" s="11" t="s">
        <v>100</v>
      </c>
      <c r="F36" s="12"/>
      <c r="G36" s="10"/>
      <c r="H36" s="10"/>
      <c r="I36" s="14"/>
    </row>
    <row r="37" customFormat="false" ht="15" hidden="false" customHeight="false" outlineLevel="0" collapsed="false">
      <c r="A37" s="12" t="s">
        <v>145</v>
      </c>
      <c r="B37" s="11" t="n">
        <v>90</v>
      </c>
      <c r="C37" s="13" t="n">
        <v>245993</v>
      </c>
      <c r="D37" s="11" t="s">
        <v>136</v>
      </c>
      <c r="E37" s="11" t="s">
        <v>146</v>
      </c>
      <c r="F37" s="12"/>
      <c r="G37" s="10"/>
      <c r="H37" s="10"/>
      <c r="I37" s="14"/>
    </row>
    <row r="38" customFormat="false" ht="15" hidden="false" customHeight="false" outlineLevel="0" collapsed="false">
      <c r="A38" s="12" t="s">
        <v>147</v>
      </c>
      <c r="B38" s="11" t="n">
        <v>75</v>
      </c>
      <c r="C38" s="13" t="n">
        <v>228686</v>
      </c>
      <c r="D38" s="11" t="s">
        <v>140</v>
      </c>
      <c r="E38" s="11" t="s">
        <v>116</v>
      </c>
      <c r="F38" s="12"/>
      <c r="G38" s="10"/>
      <c r="H38" s="10"/>
      <c r="I38" s="14"/>
    </row>
    <row r="39" customFormat="false" ht="15" hidden="false" customHeight="false" outlineLevel="0" collapsed="false">
      <c r="A39" s="12" t="s">
        <v>148</v>
      </c>
      <c r="B39" s="11" t="n">
        <v>75</v>
      </c>
      <c r="C39" s="13" t="n">
        <v>144778</v>
      </c>
      <c r="D39" s="11" t="s">
        <v>140</v>
      </c>
      <c r="E39" s="11" t="s">
        <v>116</v>
      </c>
      <c r="F39" s="12"/>
      <c r="G39" s="10"/>
      <c r="H39" s="10"/>
      <c r="I39" s="14"/>
    </row>
    <row r="40" customFormat="false" ht="15" hidden="false" customHeight="false" outlineLevel="0" collapsed="false">
      <c r="A40" s="12" t="s">
        <v>22</v>
      </c>
      <c r="B40" s="11" t="n">
        <v>85</v>
      </c>
      <c r="C40" s="13" t="n">
        <v>33212</v>
      </c>
      <c r="D40" s="11" t="s">
        <v>124</v>
      </c>
      <c r="E40" s="11" t="s">
        <v>149</v>
      </c>
      <c r="F40" s="12" t="s">
        <v>15</v>
      </c>
      <c r="G40" s="10"/>
      <c r="H40" s="10"/>
      <c r="I40" s="14" t="s">
        <v>150</v>
      </c>
    </row>
    <row r="41" customFormat="false" ht="15" hidden="false" customHeight="false" outlineLevel="0" collapsed="false">
      <c r="A41" s="12" t="s">
        <v>36</v>
      </c>
      <c r="B41" s="11" t="n">
        <v>39</v>
      </c>
      <c r="C41" s="13" t="n">
        <v>32994</v>
      </c>
      <c r="D41" s="11" t="s">
        <v>102</v>
      </c>
      <c r="E41" s="11" t="s">
        <v>151</v>
      </c>
      <c r="F41" s="12" t="s">
        <v>15</v>
      </c>
      <c r="G41" s="10"/>
      <c r="H41" s="10"/>
      <c r="I41" s="14"/>
    </row>
    <row r="42" customFormat="false" ht="15" hidden="false" customHeight="false" outlineLevel="0" collapsed="false">
      <c r="A42" s="12" t="s">
        <v>14</v>
      </c>
      <c r="B42" s="11" t="n">
        <v>85</v>
      </c>
      <c r="C42" s="13" t="n">
        <v>26827</v>
      </c>
      <c r="D42" s="11" t="s">
        <v>152</v>
      </c>
      <c r="E42" s="11" t="s">
        <v>149</v>
      </c>
      <c r="F42" s="12" t="s">
        <v>15</v>
      </c>
      <c r="G42" s="10"/>
      <c r="H42" s="10"/>
      <c r="I42" s="14" t="s">
        <v>150</v>
      </c>
    </row>
    <row r="43" customFormat="false" ht="15" hidden="false" customHeight="false" outlineLevel="0" collapsed="false">
      <c r="A43" s="12" t="s">
        <v>153</v>
      </c>
      <c r="B43" s="11"/>
      <c r="C43" s="13"/>
      <c r="D43" s="11" t="s">
        <v>154</v>
      </c>
      <c r="E43" s="11"/>
      <c r="F43" s="12" t="s">
        <v>104</v>
      </c>
      <c r="G43" s="10"/>
      <c r="H43" s="10"/>
      <c r="I43" s="14" t="s">
        <v>155</v>
      </c>
    </row>
    <row r="44" customFormat="false" ht="15" hidden="false" customHeight="false" outlineLevel="0" collapsed="false">
      <c r="A44" s="12" t="s">
        <v>156</v>
      </c>
      <c r="B44" s="11"/>
      <c r="C44" s="13"/>
      <c r="D44" s="11" t="s">
        <v>157</v>
      </c>
      <c r="E44" s="11"/>
      <c r="F44" s="12"/>
      <c r="G44" s="10"/>
      <c r="H44" s="10"/>
      <c r="I44" s="14"/>
    </row>
    <row r="46" customFormat="false" ht="15" hidden="false" customHeight="false" outlineLevel="0" collapsed="false">
      <c r="A46" s="15" t="s">
        <v>158</v>
      </c>
      <c r="B46" s="16" t="n">
        <f aca="false">COUNT(C5:C44)</f>
        <v>38</v>
      </c>
    </row>
    <row r="47" customFormat="false" ht="15" hidden="false" customHeight="false" outlineLevel="0" collapsed="false">
      <c r="A47" s="15" t="s">
        <v>159</v>
      </c>
      <c r="B47" s="16" t="n">
        <f aca="false">COUNTIF(C5:C44,"&gt;=1000000")</f>
        <v>12</v>
      </c>
    </row>
    <row r="48" customFormat="false" ht="15" hidden="false" customHeight="false" outlineLevel="0" collapsed="false">
      <c r="A48" s="15" t="s">
        <v>160</v>
      </c>
      <c r="B48" s="16" t="n">
        <f aca="false">COUNTIF(H5:H44,"Yes")</f>
        <v>0</v>
      </c>
    </row>
  </sheetData>
  <autoFilter ref="A4:I44"/>
  <conditionalFormatting sqref="H5:H44">
    <cfRule type="cellIs" priority="2" operator="equal" aboveAverage="0" equalAverage="0" bottom="0" percent="0" rank="0" text="" dxfId="8">
      <formula>"Yes"</formula>
    </cfRule>
  </conditionalFormatting>
  <dataValidations count="1">
    <dataValidation allowBlank="true" errorStyle="stop" operator="between" showDropDown="false" showErrorMessage="false" showInputMessage="false" sqref="H5:H44" type="list">
      <formula1>"Yes,Maybe,No"</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7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9" topLeftCell="A10"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1"/>
    <col collapsed="false" customWidth="true" hidden="false" outlineLevel="0" max="2" min="2" style="0" width="13"/>
    <col collapsed="false" customWidth="true" hidden="false" outlineLevel="0" max="3" min="3" style="0" width="26"/>
    <col collapsed="false" customWidth="true" hidden="false" outlineLevel="0" max="8" min="4" style="0" width="22"/>
    <col collapsed="false" customWidth="true" hidden="false" outlineLevel="0" max="9" min="9" style="0" width="14"/>
    <col collapsed="false" customWidth="true" hidden="false" outlineLevel="0" max="10" min="10" style="0" width="12"/>
    <col collapsed="false" customWidth="true" hidden="false" outlineLevel="0" max="11" min="11" style="0" width="10"/>
    <col collapsed="false" customWidth="true" hidden="false" outlineLevel="0" max="12" min="12" style="0" width="13"/>
    <col collapsed="false" customWidth="true" hidden="false" outlineLevel="0" max="13" min="13" style="0" width="36"/>
  </cols>
  <sheetData>
    <row r="1" customFormat="false" ht="17.35" hidden="false" customHeight="false" outlineLevel="0" collapsed="false">
      <c r="A1" s="1" t="s">
        <v>161</v>
      </c>
    </row>
    <row r="2" customFormat="false" ht="15" hidden="false" customHeight="false" outlineLevel="0" collapsed="false">
      <c r="A2" s="2" t="s">
        <v>162</v>
      </c>
    </row>
    <row r="4" customFormat="false" ht="15" hidden="false" customHeight="false" outlineLevel="0" collapsed="false">
      <c r="A4" s="15" t="s">
        <v>163</v>
      </c>
      <c r="B4" s="17" t="n">
        <v>46332.7083333333</v>
      </c>
    </row>
    <row r="5" customFormat="false" ht="15" hidden="false" customHeight="false" outlineLevel="0" collapsed="false">
      <c r="A5" s="15" t="s">
        <v>164</v>
      </c>
      <c r="B5" s="18" t="n">
        <v>400</v>
      </c>
    </row>
    <row r="6" customFormat="false" ht="15" hidden="false" customHeight="false" outlineLevel="0" collapsed="false">
      <c r="A6" s="15" t="s">
        <v>165</v>
      </c>
      <c r="B6" s="15" t="n">
        <f aca="false">IFERROR(INDEX(A10:A29,MATCH(TRUE(),INDEX(B10:B29&gt;B5,0),0)),"All done")</f>
        <v>2</v>
      </c>
    </row>
    <row r="7" customFormat="false" ht="15" hidden="false" customHeight="false" outlineLevel="0" collapsed="false">
      <c r="A7" s="15" t="s">
        <v>166</v>
      </c>
      <c r="B7" s="19" t="n">
        <f aca="false">IFERROR(INDEX(B10:B29,MATCH(TRUE(),INDEX(B10:B29&gt;B5,0),0))-B5,0)</f>
        <v>400</v>
      </c>
    </row>
    <row r="9" customFormat="false" ht="15" hidden="false" customHeight="false" outlineLevel="0" collapsed="false">
      <c r="A9" s="20" t="s">
        <v>167</v>
      </c>
      <c r="B9" s="20" t="s">
        <v>168</v>
      </c>
      <c r="C9" s="20" t="s">
        <v>169</v>
      </c>
      <c r="D9" s="20" t="s">
        <v>170</v>
      </c>
      <c r="E9" s="20" t="s">
        <v>171</v>
      </c>
      <c r="F9" s="20" t="s">
        <v>12</v>
      </c>
    </row>
    <row r="10" customFormat="false" ht="15" hidden="false" customHeight="false" outlineLevel="0" collapsed="false">
      <c r="A10" s="12" t="n">
        <v>1</v>
      </c>
      <c r="B10" s="21" t="n">
        <v>400</v>
      </c>
      <c r="C10" s="12" t="s">
        <v>172</v>
      </c>
      <c r="D10" s="12" t="s">
        <v>173</v>
      </c>
      <c r="E10" s="14"/>
      <c r="F10" s="10" t="s">
        <v>174</v>
      </c>
    </row>
    <row r="11" customFormat="false" ht="15" hidden="false" customHeight="false" outlineLevel="0" collapsed="false">
      <c r="A11" s="12" t="n">
        <v>2</v>
      </c>
      <c r="B11" s="21" t="n">
        <v>800</v>
      </c>
      <c r="C11" s="12" t="s">
        <v>175</v>
      </c>
      <c r="D11" s="12" t="s">
        <v>176</v>
      </c>
      <c r="E11" s="14"/>
      <c r="F11" s="10" t="s">
        <v>177</v>
      </c>
    </row>
    <row r="12" customFormat="false" ht="15" hidden="false" customHeight="false" outlineLevel="0" collapsed="false">
      <c r="A12" s="12" t="n">
        <v>3</v>
      </c>
      <c r="B12" s="21" t="n">
        <v>1200</v>
      </c>
      <c r="C12" s="12" t="s">
        <v>178</v>
      </c>
      <c r="D12" s="12" t="s">
        <v>179</v>
      </c>
      <c r="E12" s="14"/>
      <c r="F12" s="10" t="s">
        <v>177</v>
      </c>
    </row>
    <row r="13" customFormat="false" ht="15" hidden="false" customHeight="false" outlineLevel="0" collapsed="false">
      <c r="A13" s="12" t="n">
        <v>4</v>
      </c>
      <c r="B13" s="21" t="n">
        <v>1600</v>
      </c>
      <c r="C13" s="12" t="s">
        <v>180</v>
      </c>
      <c r="D13" s="12" t="s">
        <v>181</v>
      </c>
      <c r="E13" s="14"/>
      <c r="F13" s="10" t="s">
        <v>177</v>
      </c>
    </row>
    <row r="14" customFormat="false" ht="15" hidden="false" customHeight="false" outlineLevel="0" collapsed="false">
      <c r="A14" s="12" t="n">
        <v>5</v>
      </c>
      <c r="B14" s="21" t="n">
        <v>2000</v>
      </c>
      <c r="C14" s="12" t="s">
        <v>182</v>
      </c>
      <c r="D14" s="12" t="s">
        <v>183</v>
      </c>
      <c r="E14" s="14"/>
      <c r="F14" s="10" t="s">
        <v>177</v>
      </c>
    </row>
    <row r="15" customFormat="false" ht="15" hidden="false" customHeight="false" outlineLevel="0" collapsed="false">
      <c r="A15" s="12" t="n">
        <v>6</v>
      </c>
      <c r="B15" s="21" t="n">
        <v>2400</v>
      </c>
      <c r="C15" s="12" t="s">
        <v>184</v>
      </c>
      <c r="D15" s="12" t="s">
        <v>185</v>
      </c>
      <c r="E15" s="14" t="s">
        <v>186</v>
      </c>
      <c r="F15" s="10" t="s">
        <v>177</v>
      </c>
    </row>
    <row r="16" customFormat="false" ht="15" hidden="false" customHeight="false" outlineLevel="0" collapsed="false">
      <c r="A16" s="12" t="n">
        <v>7</v>
      </c>
      <c r="B16" s="21" t="n">
        <v>2800</v>
      </c>
      <c r="C16" s="12" t="s">
        <v>187</v>
      </c>
      <c r="D16" s="12" t="s">
        <v>188</v>
      </c>
      <c r="E16" s="14"/>
      <c r="F16" s="10" t="s">
        <v>177</v>
      </c>
    </row>
    <row r="17" customFormat="false" ht="15" hidden="false" customHeight="false" outlineLevel="0" collapsed="false">
      <c r="A17" s="12" t="n">
        <v>8</v>
      </c>
      <c r="B17" s="21" t="n">
        <v>3200</v>
      </c>
      <c r="C17" s="12" t="s">
        <v>189</v>
      </c>
      <c r="D17" s="12" t="s">
        <v>190</v>
      </c>
      <c r="E17" s="14"/>
      <c r="F17" s="10" t="s">
        <v>177</v>
      </c>
    </row>
    <row r="18" customFormat="false" ht="15" hidden="false" customHeight="false" outlineLevel="0" collapsed="false">
      <c r="A18" s="12" t="n">
        <v>9</v>
      </c>
      <c r="B18" s="21" t="n">
        <v>3600</v>
      </c>
      <c r="C18" s="12" t="s">
        <v>191</v>
      </c>
      <c r="D18" s="12" t="s">
        <v>192</v>
      </c>
      <c r="E18" s="14"/>
      <c r="F18" s="10" t="s">
        <v>177</v>
      </c>
    </row>
    <row r="19" customFormat="false" ht="15" hidden="false" customHeight="false" outlineLevel="0" collapsed="false">
      <c r="A19" s="12" t="n">
        <v>10</v>
      </c>
      <c r="B19" s="21" t="n">
        <v>4000</v>
      </c>
      <c r="C19" s="12" t="s">
        <v>193</v>
      </c>
      <c r="D19" s="12" t="s">
        <v>194</v>
      </c>
      <c r="E19" s="14"/>
      <c r="F19" s="10" t="s">
        <v>177</v>
      </c>
    </row>
    <row r="20" customFormat="false" ht="15" hidden="false" customHeight="false" outlineLevel="0" collapsed="false">
      <c r="A20" s="12" t="n">
        <v>11</v>
      </c>
      <c r="B20" s="21" t="n">
        <v>4400</v>
      </c>
      <c r="C20" s="12" t="s">
        <v>195</v>
      </c>
      <c r="D20" s="12" t="s">
        <v>185</v>
      </c>
      <c r="E20" s="14" t="s">
        <v>186</v>
      </c>
      <c r="F20" s="10" t="s">
        <v>177</v>
      </c>
    </row>
    <row r="21" customFormat="false" ht="15" hidden="false" customHeight="false" outlineLevel="0" collapsed="false">
      <c r="A21" s="12" t="n">
        <v>12</v>
      </c>
      <c r="B21" s="21" t="n">
        <v>4800</v>
      </c>
      <c r="C21" s="12" t="s">
        <v>196</v>
      </c>
      <c r="D21" s="12" t="s">
        <v>197</v>
      </c>
      <c r="E21" s="14" t="s">
        <v>198</v>
      </c>
      <c r="F21" s="10" t="s">
        <v>177</v>
      </c>
    </row>
    <row r="22" customFormat="false" ht="15" hidden="false" customHeight="false" outlineLevel="0" collapsed="false">
      <c r="A22" s="12" t="n">
        <v>13</v>
      </c>
      <c r="B22" s="21" t="n">
        <v>5200</v>
      </c>
      <c r="C22" s="12" t="s">
        <v>199</v>
      </c>
      <c r="D22" s="12" t="s">
        <v>200</v>
      </c>
      <c r="E22" s="14" t="s">
        <v>186</v>
      </c>
      <c r="F22" s="10" t="s">
        <v>177</v>
      </c>
    </row>
    <row r="23" customFormat="false" ht="15" hidden="false" customHeight="false" outlineLevel="0" collapsed="false">
      <c r="A23" s="12" t="n">
        <v>14</v>
      </c>
      <c r="B23" s="21" t="n">
        <v>5600</v>
      </c>
      <c r="C23" s="12" t="s">
        <v>201</v>
      </c>
      <c r="D23" s="12" t="s">
        <v>202</v>
      </c>
      <c r="E23" s="14" t="s">
        <v>198</v>
      </c>
      <c r="F23" s="10" t="s">
        <v>177</v>
      </c>
    </row>
    <row r="24" customFormat="false" ht="15" hidden="false" customHeight="false" outlineLevel="0" collapsed="false">
      <c r="A24" s="12" t="n">
        <v>15</v>
      </c>
      <c r="B24" s="21" t="n">
        <v>6000</v>
      </c>
      <c r="C24" s="12" t="s">
        <v>189</v>
      </c>
      <c r="D24" s="12" t="s">
        <v>203</v>
      </c>
      <c r="E24" s="14"/>
      <c r="F24" s="10" t="s">
        <v>177</v>
      </c>
    </row>
    <row r="25" customFormat="false" ht="15" hidden="false" customHeight="false" outlineLevel="0" collapsed="false">
      <c r="A25" s="12" t="n">
        <v>16</v>
      </c>
      <c r="B25" s="21" t="n">
        <v>6400</v>
      </c>
      <c r="C25" s="12" t="s">
        <v>204</v>
      </c>
      <c r="D25" s="12" t="s">
        <v>205</v>
      </c>
      <c r="E25" s="14" t="s">
        <v>206</v>
      </c>
      <c r="F25" s="10" t="s">
        <v>177</v>
      </c>
    </row>
    <row r="26" customFormat="false" ht="15" hidden="false" customHeight="false" outlineLevel="0" collapsed="false">
      <c r="A26" s="12" t="n">
        <v>17</v>
      </c>
      <c r="B26" s="21" t="n">
        <v>6800</v>
      </c>
      <c r="C26" s="12" t="s">
        <v>207</v>
      </c>
      <c r="D26" s="12" t="s">
        <v>208</v>
      </c>
      <c r="E26" s="14" t="s">
        <v>206</v>
      </c>
      <c r="F26" s="10" t="s">
        <v>177</v>
      </c>
    </row>
    <row r="27" customFormat="false" ht="15" hidden="false" customHeight="false" outlineLevel="0" collapsed="false">
      <c r="A27" s="12" t="n">
        <v>18</v>
      </c>
      <c r="B27" s="21" t="n">
        <v>7200</v>
      </c>
      <c r="C27" s="12"/>
      <c r="D27" s="12" t="s">
        <v>209</v>
      </c>
      <c r="E27" s="14"/>
      <c r="F27" s="10" t="s">
        <v>177</v>
      </c>
    </row>
    <row r="28" customFormat="false" ht="15" hidden="false" customHeight="false" outlineLevel="0" collapsed="false">
      <c r="A28" s="12" t="n">
        <v>19</v>
      </c>
      <c r="B28" s="21" t="n">
        <v>7600</v>
      </c>
      <c r="C28" s="12"/>
      <c r="D28" s="12" t="s">
        <v>210</v>
      </c>
      <c r="E28" s="14" t="s">
        <v>211</v>
      </c>
      <c r="F28" s="10" t="s">
        <v>177</v>
      </c>
    </row>
    <row r="29" customFormat="false" ht="15" hidden="false" customHeight="false" outlineLevel="0" collapsed="false">
      <c r="A29" s="12" t="n">
        <v>20</v>
      </c>
      <c r="B29" s="21" t="n">
        <v>8000</v>
      </c>
      <c r="C29" s="12"/>
      <c r="D29" s="12" t="s">
        <v>212</v>
      </c>
      <c r="E29" s="14"/>
      <c r="F29" s="10" t="s">
        <v>177</v>
      </c>
    </row>
    <row r="31" customFormat="false" ht="15" hidden="false" customHeight="false" outlineLevel="0" collapsed="false">
      <c r="A31" s="22" t="s">
        <v>213</v>
      </c>
    </row>
    <row r="32" customFormat="false" ht="26.85" hidden="false" customHeight="false" outlineLevel="0" collapsed="false">
      <c r="A32" s="3" t="s">
        <v>214</v>
      </c>
      <c r="B32" s="3" t="s">
        <v>215</v>
      </c>
      <c r="C32" s="3" t="s">
        <v>216</v>
      </c>
      <c r="D32" s="3" t="s">
        <v>217</v>
      </c>
      <c r="E32" s="3" t="s">
        <v>218</v>
      </c>
      <c r="F32" s="3" t="s">
        <v>219</v>
      </c>
      <c r="G32" s="3" t="s">
        <v>220</v>
      </c>
      <c r="H32" s="3" t="s">
        <v>221</v>
      </c>
      <c r="I32" s="3" t="s">
        <v>222</v>
      </c>
      <c r="J32" s="3" t="s">
        <v>223</v>
      </c>
      <c r="K32" s="3" t="s">
        <v>224</v>
      </c>
      <c r="L32" s="3" t="s">
        <v>225</v>
      </c>
      <c r="M32" s="3" t="s">
        <v>13</v>
      </c>
    </row>
    <row r="33" customFormat="false" ht="15" hidden="false" customHeight="false" outlineLevel="0" collapsed="false">
      <c r="A33" s="10" t="s">
        <v>226</v>
      </c>
      <c r="B33" s="10"/>
      <c r="C33" s="10"/>
      <c r="D33" s="10" t="s">
        <v>113</v>
      </c>
      <c r="E33" s="10" t="s">
        <v>122</v>
      </c>
      <c r="F33" s="10" t="s">
        <v>125</v>
      </c>
      <c r="G33" s="10" t="s">
        <v>126</v>
      </c>
      <c r="H33" s="10" t="s">
        <v>127</v>
      </c>
      <c r="I33" s="23" t="n">
        <f aca="false">SUMIF('Tower Roster'!$A$5:$A$44,D33,'Tower Roster'!$C$5:$C$44)+SUMIF('Tower Roster'!$A$5:$A$44,E33,'Tower Roster'!$C$5:$C$44)+SUMIF('Tower Roster'!$A$5:$A$44,F33,'Tower Roster'!$C$5:$C$44)+SUMIF('Tower Roster'!$A$5:$A$44,G33,'Tower Roster'!$C$5:$C$44)+SUMIF('Tower Roster'!$A$5:$A$44,H33,'Tower Roster'!$C$5:$C$44)</f>
        <v>4789170</v>
      </c>
      <c r="J33" s="10" t="s">
        <v>227</v>
      </c>
      <c r="K33" s="10" t="n">
        <v>1</v>
      </c>
      <c r="L33" s="24" t="n">
        <v>400</v>
      </c>
      <c r="M33" s="10" t="s">
        <v>228</v>
      </c>
    </row>
    <row r="34" customFormat="false" ht="15" hidden="false" customHeight="false" outlineLevel="0" collapsed="false">
      <c r="A34" s="10"/>
      <c r="B34" s="10"/>
      <c r="C34" s="10"/>
      <c r="D34" s="10"/>
      <c r="E34" s="10"/>
      <c r="F34" s="10"/>
      <c r="G34" s="10"/>
      <c r="H34" s="10"/>
      <c r="I34" s="23" t="n">
        <f aca="false">SUMIF('Tower Roster'!$A$5:$A$44,D34,'Tower Roster'!$C$5:$C$44)+SUMIF('Tower Roster'!$A$5:$A$44,E34,'Tower Roster'!$C$5:$C$44)+SUMIF('Tower Roster'!$A$5:$A$44,F34,'Tower Roster'!$C$5:$C$44)+SUMIF('Tower Roster'!$A$5:$A$44,G34,'Tower Roster'!$C$5:$C$44)+SUMIF('Tower Roster'!$A$5:$A$44,H34,'Tower Roster'!$C$5:$C$44)</f>
        <v>0</v>
      </c>
      <c r="J34" s="10"/>
      <c r="K34" s="10"/>
      <c r="L34" s="24"/>
      <c r="M34" s="10"/>
    </row>
    <row r="35" customFormat="false" ht="15" hidden="false" customHeight="false" outlineLevel="0" collapsed="false">
      <c r="A35" s="10"/>
      <c r="B35" s="10"/>
      <c r="C35" s="10"/>
      <c r="D35" s="10"/>
      <c r="E35" s="10"/>
      <c r="F35" s="10"/>
      <c r="G35" s="10"/>
      <c r="H35" s="10"/>
      <c r="I35" s="23" t="n">
        <f aca="false">SUMIF('Tower Roster'!$A$5:$A$44,D35,'Tower Roster'!$C$5:$C$44)+SUMIF('Tower Roster'!$A$5:$A$44,E35,'Tower Roster'!$C$5:$C$44)+SUMIF('Tower Roster'!$A$5:$A$44,F35,'Tower Roster'!$C$5:$C$44)+SUMIF('Tower Roster'!$A$5:$A$44,G35,'Tower Roster'!$C$5:$C$44)+SUMIF('Tower Roster'!$A$5:$A$44,H35,'Tower Roster'!$C$5:$C$44)</f>
        <v>0</v>
      </c>
      <c r="J35" s="10"/>
      <c r="K35" s="10"/>
      <c r="L35" s="24"/>
      <c r="M35" s="10"/>
    </row>
    <row r="36" customFormat="false" ht="15" hidden="false" customHeight="false" outlineLevel="0" collapsed="false">
      <c r="A36" s="10"/>
      <c r="B36" s="10"/>
      <c r="C36" s="10"/>
      <c r="D36" s="10"/>
      <c r="E36" s="10"/>
      <c r="F36" s="10"/>
      <c r="G36" s="10"/>
      <c r="H36" s="10"/>
      <c r="I36" s="23" t="n">
        <f aca="false">SUMIF('Tower Roster'!$A$5:$A$44,D36,'Tower Roster'!$C$5:$C$44)+SUMIF('Tower Roster'!$A$5:$A$44,E36,'Tower Roster'!$C$5:$C$44)+SUMIF('Tower Roster'!$A$5:$A$44,F36,'Tower Roster'!$C$5:$C$44)+SUMIF('Tower Roster'!$A$5:$A$44,G36,'Tower Roster'!$C$5:$C$44)+SUMIF('Tower Roster'!$A$5:$A$44,H36,'Tower Roster'!$C$5:$C$44)</f>
        <v>0</v>
      </c>
      <c r="J36" s="10"/>
      <c r="K36" s="10"/>
      <c r="L36" s="24"/>
      <c r="M36" s="10"/>
    </row>
    <row r="37" customFormat="false" ht="15" hidden="false" customHeight="false" outlineLevel="0" collapsed="false">
      <c r="A37" s="10"/>
      <c r="B37" s="10"/>
      <c r="C37" s="10"/>
      <c r="D37" s="10"/>
      <c r="E37" s="10"/>
      <c r="F37" s="10"/>
      <c r="G37" s="10"/>
      <c r="H37" s="10"/>
      <c r="I37" s="23" t="n">
        <f aca="false">SUMIF('Tower Roster'!$A$5:$A$44,D37,'Tower Roster'!$C$5:$C$44)+SUMIF('Tower Roster'!$A$5:$A$44,E37,'Tower Roster'!$C$5:$C$44)+SUMIF('Tower Roster'!$A$5:$A$44,F37,'Tower Roster'!$C$5:$C$44)+SUMIF('Tower Roster'!$A$5:$A$44,G37,'Tower Roster'!$C$5:$C$44)+SUMIF('Tower Roster'!$A$5:$A$44,H37,'Tower Roster'!$C$5:$C$44)</f>
        <v>0</v>
      </c>
      <c r="J37" s="10"/>
      <c r="K37" s="10"/>
      <c r="L37" s="24"/>
      <c r="M37" s="10"/>
    </row>
    <row r="38" customFormat="false" ht="15" hidden="false" customHeight="false" outlineLevel="0" collapsed="false">
      <c r="A38" s="10"/>
      <c r="B38" s="10"/>
      <c r="C38" s="10"/>
      <c r="D38" s="10"/>
      <c r="E38" s="10"/>
      <c r="F38" s="10"/>
      <c r="G38" s="10"/>
      <c r="H38" s="10"/>
      <c r="I38" s="23" t="n">
        <f aca="false">SUMIF('Tower Roster'!$A$5:$A$44,D38,'Tower Roster'!$C$5:$C$44)+SUMIF('Tower Roster'!$A$5:$A$44,E38,'Tower Roster'!$C$5:$C$44)+SUMIF('Tower Roster'!$A$5:$A$44,F38,'Tower Roster'!$C$5:$C$44)+SUMIF('Tower Roster'!$A$5:$A$44,G38,'Tower Roster'!$C$5:$C$44)+SUMIF('Tower Roster'!$A$5:$A$44,H38,'Tower Roster'!$C$5:$C$44)</f>
        <v>0</v>
      </c>
      <c r="J38" s="10"/>
      <c r="K38" s="10"/>
      <c r="L38" s="24"/>
      <c r="M38" s="10"/>
    </row>
    <row r="39" customFormat="false" ht="15" hidden="false" customHeight="false" outlineLevel="0" collapsed="false">
      <c r="A39" s="10"/>
      <c r="B39" s="10"/>
      <c r="C39" s="10"/>
      <c r="D39" s="10"/>
      <c r="E39" s="10"/>
      <c r="F39" s="10"/>
      <c r="G39" s="10"/>
      <c r="H39" s="10"/>
      <c r="I39" s="23" t="n">
        <f aca="false">SUMIF('Tower Roster'!$A$5:$A$44,D39,'Tower Roster'!$C$5:$C$44)+SUMIF('Tower Roster'!$A$5:$A$44,E39,'Tower Roster'!$C$5:$C$44)+SUMIF('Tower Roster'!$A$5:$A$44,F39,'Tower Roster'!$C$5:$C$44)+SUMIF('Tower Roster'!$A$5:$A$44,G39,'Tower Roster'!$C$5:$C$44)+SUMIF('Tower Roster'!$A$5:$A$44,H39,'Tower Roster'!$C$5:$C$44)</f>
        <v>0</v>
      </c>
      <c r="J39" s="10"/>
      <c r="K39" s="10"/>
      <c r="L39" s="24"/>
      <c r="M39" s="10"/>
    </row>
    <row r="40" customFormat="false" ht="15" hidden="false" customHeight="false" outlineLevel="0" collapsed="false">
      <c r="A40" s="10"/>
      <c r="B40" s="10"/>
      <c r="C40" s="10"/>
      <c r="D40" s="10"/>
      <c r="E40" s="10"/>
      <c r="F40" s="10"/>
      <c r="G40" s="10"/>
      <c r="H40" s="10"/>
      <c r="I40" s="23" t="n">
        <f aca="false">SUMIF('Tower Roster'!$A$5:$A$44,D40,'Tower Roster'!$C$5:$C$44)+SUMIF('Tower Roster'!$A$5:$A$44,E40,'Tower Roster'!$C$5:$C$44)+SUMIF('Tower Roster'!$A$5:$A$44,F40,'Tower Roster'!$C$5:$C$44)+SUMIF('Tower Roster'!$A$5:$A$44,G40,'Tower Roster'!$C$5:$C$44)+SUMIF('Tower Roster'!$A$5:$A$44,H40,'Tower Roster'!$C$5:$C$44)</f>
        <v>0</v>
      </c>
      <c r="J40" s="10"/>
      <c r="K40" s="10"/>
      <c r="L40" s="24"/>
      <c r="M40" s="10"/>
    </row>
    <row r="41" customFormat="false" ht="15" hidden="false" customHeight="false" outlineLevel="0" collapsed="false">
      <c r="A41" s="10"/>
      <c r="B41" s="10"/>
      <c r="C41" s="10"/>
      <c r="D41" s="10"/>
      <c r="E41" s="10"/>
      <c r="F41" s="10"/>
      <c r="G41" s="10"/>
      <c r="H41" s="10"/>
      <c r="I41" s="23" t="n">
        <f aca="false">SUMIF('Tower Roster'!$A$5:$A$44,D41,'Tower Roster'!$C$5:$C$44)+SUMIF('Tower Roster'!$A$5:$A$44,E41,'Tower Roster'!$C$5:$C$44)+SUMIF('Tower Roster'!$A$5:$A$44,F41,'Tower Roster'!$C$5:$C$44)+SUMIF('Tower Roster'!$A$5:$A$44,G41,'Tower Roster'!$C$5:$C$44)+SUMIF('Tower Roster'!$A$5:$A$44,H41,'Tower Roster'!$C$5:$C$44)</f>
        <v>0</v>
      </c>
      <c r="J41" s="10"/>
      <c r="K41" s="10"/>
      <c r="L41" s="24"/>
      <c r="M41" s="10"/>
    </row>
    <row r="42" customFormat="false" ht="15" hidden="false" customHeight="false" outlineLevel="0" collapsed="false">
      <c r="A42" s="10"/>
      <c r="B42" s="10"/>
      <c r="C42" s="10"/>
      <c r="D42" s="10"/>
      <c r="E42" s="10"/>
      <c r="F42" s="10"/>
      <c r="G42" s="10"/>
      <c r="H42" s="10"/>
      <c r="I42" s="23" t="n">
        <f aca="false">SUMIF('Tower Roster'!$A$5:$A$44,D42,'Tower Roster'!$C$5:$C$44)+SUMIF('Tower Roster'!$A$5:$A$44,E42,'Tower Roster'!$C$5:$C$44)+SUMIF('Tower Roster'!$A$5:$A$44,F42,'Tower Roster'!$C$5:$C$44)+SUMIF('Tower Roster'!$A$5:$A$44,G42,'Tower Roster'!$C$5:$C$44)+SUMIF('Tower Roster'!$A$5:$A$44,H42,'Tower Roster'!$C$5:$C$44)</f>
        <v>0</v>
      </c>
      <c r="J42" s="10"/>
      <c r="K42" s="10"/>
      <c r="L42" s="24"/>
      <c r="M42" s="10"/>
    </row>
    <row r="43" customFormat="false" ht="15" hidden="false" customHeight="false" outlineLevel="0" collapsed="false">
      <c r="A43" s="10"/>
      <c r="B43" s="10"/>
      <c r="C43" s="10"/>
      <c r="D43" s="10"/>
      <c r="E43" s="10"/>
      <c r="F43" s="10"/>
      <c r="G43" s="10"/>
      <c r="H43" s="10"/>
      <c r="I43" s="23" t="n">
        <f aca="false">SUMIF('Tower Roster'!$A$5:$A$44,D43,'Tower Roster'!$C$5:$C$44)+SUMIF('Tower Roster'!$A$5:$A$44,E43,'Tower Roster'!$C$5:$C$44)+SUMIF('Tower Roster'!$A$5:$A$44,F43,'Tower Roster'!$C$5:$C$44)+SUMIF('Tower Roster'!$A$5:$A$44,G43,'Tower Roster'!$C$5:$C$44)+SUMIF('Tower Roster'!$A$5:$A$44,H43,'Tower Roster'!$C$5:$C$44)</f>
        <v>0</v>
      </c>
      <c r="J43" s="10"/>
      <c r="K43" s="10"/>
      <c r="L43" s="24"/>
      <c r="M43" s="10"/>
    </row>
    <row r="44" customFormat="false" ht="15" hidden="false" customHeight="false" outlineLevel="0" collapsed="false">
      <c r="A44" s="10"/>
      <c r="B44" s="10"/>
      <c r="C44" s="10"/>
      <c r="D44" s="10"/>
      <c r="E44" s="10"/>
      <c r="F44" s="10"/>
      <c r="G44" s="10"/>
      <c r="H44" s="10"/>
      <c r="I44" s="23" t="n">
        <f aca="false">SUMIF('Tower Roster'!$A$5:$A$44,D44,'Tower Roster'!$C$5:$C$44)+SUMIF('Tower Roster'!$A$5:$A$44,E44,'Tower Roster'!$C$5:$C$44)+SUMIF('Tower Roster'!$A$5:$A$44,F44,'Tower Roster'!$C$5:$C$44)+SUMIF('Tower Roster'!$A$5:$A$44,G44,'Tower Roster'!$C$5:$C$44)+SUMIF('Tower Roster'!$A$5:$A$44,H44,'Tower Roster'!$C$5:$C$44)</f>
        <v>0</v>
      </c>
      <c r="J44" s="10"/>
      <c r="K44" s="10"/>
      <c r="L44" s="24"/>
      <c r="M44" s="10"/>
    </row>
    <row r="45" customFormat="false" ht="15" hidden="false" customHeight="false" outlineLevel="0" collapsed="false">
      <c r="A45" s="10"/>
      <c r="B45" s="10"/>
      <c r="C45" s="10"/>
      <c r="D45" s="10"/>
      <c r="E45" s="10"/>
      <c r="F45" s="10"/>
      <c r="G45" s="10"/>
      <c r="H45" s="10"/>
      <c r="I45" s="23" t="n">
        <f aca="false">SUMIF('Tower Roster'!$A$5:$A$44,D45,'Tower Roster'!$C$5:$C$44)+SUMIF('Tower Roster'!$A$5:$A$44,E45,'Tower Roster'!$C$5:$C$44)+SUMIF('Tower Roster'!$A$5:$A$44,F45,'Tower Roster'!$C$5:$C$44)+SUMIF('Tower Roster'!$A$5:$A$44,G45,'Tower Roster'!$C$5:$C$44)+SUMIF('Tower Roster'!$A$5:$A$44,H45,'Tower Roster'!$C$5:$C$44)</f>
        <v>0</v>
      </c>
      <c r="J45" s="10"/>
      <c r="K45" s="10"/>
      <c r="L45" s="24"/>
      <c r="M45" s="10"/>
    </row>
    <row r="46" customFormat="false" ht="15" hidden="false" customHeight="false" outlineLevel="0" collapsed="false">
      <c r="A46" s="10"/>
      <c r="B46" s="10"/>
      <c r="C46" s="10"/>
      <c r="D46" s="10"/>
      <c r="E46" s="10"/>
      <c r="F46" s="10"/>
      <c r="G46" s="10"/>
      <c r="H46" s="10"/>
      <c r="I46" s="23" t="n">
        <f aca="false">SUMIF('Tower Roster'!$A$5:$A$44,D46,'Tower Roster'!$C$5:$C$44)+SUMIF('Tower Roster'!$A$5:$A$44,E46,'Tower Roster'!$C$5:$C$44)+SUMIF('Tower Roster'!$A$5:$A$44,F46,'Tower Roster'!$C$5:$C$44)+SUMIF('Tower Roster'!$A$5:$A$44,G46,'Tower Roster'!$C$5:$C$44)+SUMIF('Tower Roster'!$A$5:$A$44,H46,'Tower Roster'!$C$5:$C$44)</f>
        <v>0</v>
      </c>
      <c r="J46" s="10"/>
      <c r="K46" s="10"/>
      <c r="L46" s="24"/>
      <c r="M46" s="10"/>
    </row>
    <row r="47" customFormat="false" ht="15" hidden="false" customHeight="false" outlineLevel="0" collapsed="false">
      <c r="A47" s="10"/>
      <c r="B47" s="10"/>
      <c r="C47" s="10"/>
      <c r="D47" s="10"/>
      <c r="E47" s="10"/>
      <c r="F47" s="10"/>
      <c r="G47" s="10"/>
      <c r="H47" s="10"/>
      <c r="I47" s="23" t="n">
        <f aca="false">SUMIF('Tower Roster'!$A$5:$A$44,D47,'Tower Roster'!$C$5:$C$44)+SUMIF('Tower Roster'!$A$5:$A$44,E47,'Tower Roster'!$C$5:$C$44)+SUMIF('Tower Roster'!$A$5:$A$44,F47,'Tower Roster'!$C$5:$C$44)+SUMIF('Tower Roster'!$A$5:$A$44,G47,'Tower Roster'!$C$5:$C$44)+SUMIF('Tower Roster'!$A$5:$A$44,H47,'Tower Roster'!$C$5:$C$44)</f>
        <v>0</v>
      </c>
      <c r="J47" s="10"/>
      <c r="K47" s="10"/>
      <c r="L47" s="24"/>
      <c r="M47" s="10"/>
    </row>
    <row r="48" customFormat="false" ht="15" hidden="false" customHeight="false" outlineLevel="0" collapsed="false">
      <c r="A48" s="10"/>
      <c r="B48" s="10"/>
      <c r="C48" s="10"/>
      <c r="D48" s="10"/>
      <c r="E48" s="10"/>
      <c r="F48" s="10"/>
      <c r="G48" s="10"/>
      <c r="H48" s="10"/>
      <c r="I48" s="23" t="n">
        <f aca="false">SUMIF('Tower Roster'!$A$5:$A$44,D48,'Tower Roster'!$C$5:$C$44)+SUMIF('Tower Roster'!$A$5:$A$44,E48,'Tower Roster'!$C$5:$C$44)+SUMIF('Tower Roster'!$A$5:$A$44,F48,'Tower Roster'!$C$5:$C$44)+SUMIF('Tower Roster'!$A$5:$A$44,G48,'Tower Roster'!$C$5:$C$44)+SUMIF('Tower Roster'!$A$5:$A$44,H48,'Tower Roster'!$C$5:$C$44)</f>
        <v>0</v>
      </c>
      <c r="J48" s="10"/>
      <c r="K48" s="10"/>
      <c r="L48" s="24"/>
      <c r="M48" s="10"/>
    </row>
    <row r="49" customFormat="false" ht="15" hidden="false" customHeight="false" outlineLevel="0" collapsed="false">
      <c r="A49" s="10"/>
      <c r="B49" s="10"/>
      <c r="C49" s="10"/>
      <c r="D49" s="10"/>
      <c r="E49" s="10"/>
      <c r="F49" s="10"/>
      <c r="G49" s="10"/>
      <c r="H49" s="10"/>
      <c r="I49" s="23" t="n">
        <f aca="false">SUMIF('Tower Roster'!$A$5:$A$44,D49,'Tower Roster'!$C$5:$C$44)+SUMIF('Tower Roster'!$A$5:$A$44,E49,'Tower Roster'!$C$5:$C$44)+SUMIF('Tower Roster'!$A$5:$A$44,F49,'Tower Roster'!$C$5:$C$44)+SUMIF('Tower Roster'!$A$5:$A$44,G49,'Tower Roster'!$C$5:$C$44)+SUMIF('Tower Roster'!$A$5:$A$44,H49,'Tower Roster'!$C$5:$C$44)</f>
        <v>0</v>
      </c>
      <c r="J49" s="10"/>
      <c r="K49" s="10"/>
      <c r="L49" s="24"/>
      <c r="M49" s="10"/>
    </row>
    <row r="50" customFormat="false" ht="15" hidden="false" customHeight="false" outlineLevel="0" collapsed="false">
      <c r="A50" s="10"/>
      <c r="B50" s="10"/>
      <c r="C50" s="10"/>
      <c r="D50" s="10"/>
      <c r="E50" s="10"/>
      <c r="F50" s="10"/>
      <c r="G50" s="10"/>
      <c r="H50" s="10"/>
      <c r="I50" s="23" t="n">
        <f aca="false">SUMIF('Tower Roster'!$A$5:$A$44,D50,'Tower Roster'!$C$5:$C$44)+SUMIF('Tower Roster'!$A$5:$A$44,E50,'Tower Roster'!$C$5:$C$44)+SUMIF('Tower Roster'!$A$5:$A$44,F50,'Tower Roster'!$C$5:$C$44)+SUMIF('Tower Roster'!$A$5:$A$44,G50,'Tower Roster'!$C$5:$C$44)+SUMIF('Tower Roster'!$A$5:$A$44,H50,'Tower Roster'!$C$5:$C$44)</f>
        <v>0</v>
      </c>
      <c r="J50" s="10"/>
      <c r="K50" s="10"/>
      <c r="L50" s="24"/>
      <c r="M50" s="10"/>
    </row>
    <row r="51" customFormat="false" ht="15" hidden="false" customHeight="false" outlineLevel="0" collapsed="false">
      <c r="A51" s="10"/>
      <c r="B51" s="10"/>
      <c r="C51" s="10"/>
      <c r="D51" s="10"/>
      <c r="E51" s="10"/>
      <c r="F51" s="10"/>
      <c r="G51" s="10"/>
      <c r="H51" s="10"/>
      <c r="I51" s="23" t="n">
        <f aca="false">SUMIF('Tower Roster'!$A$5:$A$44,D51,'Tower Roster'!$C$5:$C$44)+SUMIF('Tower Roster'!$A$5:$A$44,E51,'Tower Roster'!$C$5:$C$44)+SUMIF('Tower Roster'!$A$5:$A$44,F51,'Tower Roster'!$C$5:$C$44)+SUMIF('Tower Roster'!$A$5:$A$44,G51,'Tower Roster'!$C$5:$C$44)+SUMIF('Tower Roster'!$A$5:$A$44,H51,'Tower Roster'!$C$5:$C$44)</f>
        <v>0</v>
      </c>
      <c r="J51" s="10"/>
      <c r="K51" s="10"/>
      <c r="L51" s="24"/>
      <c r="M51" s="10"/>
    </row>
    <row r="52" customFormat="false" ht="15" hidden="false" customHeight="false" outlineLevel="0" collapsed="false">
      <c r="A52" s="10"/>
      <c r="B52" s="10"/>
      <c r="C52" s="10"/>
      <c r="D52" s="10"/>
      <c r="E52" s="10"/>
      <c r="F52" s="10"/>
      <c r="G52" s="10"/>
      <c r="H52" s="10"/>
      <c r="I52" s="23" t="n">
        <f aca="false">SUMIF('Tower Roster'!$A$5:$A$44,D52,'Tower Roster'!$C$5:$C$44)+SUMIF('Tower Roster'!$A$5:$A$44,E52,'Tower Roster'!$C$5:$C$44)+SUMIF('Tower Roster'!$A$5:$A$44,F52,'Tower Roster'!$C$5:$C$44)+SUMIF('Tower Roster'!$A$5:$A$44,G52,'Tower Roster'!$C$5:$C$44)+SUMIF('Tower Roster'!$A$5:$A$44,H52,'Tower Roster'!$C$5:$C$44)</f>
        <v>0</v>
      </c>
      <c r="J52" s="10"/>
      <c r="K52" s="10"/>
      <c r="L52" s="24"/>
      <c r="M52" s="10"/>
    </row>
    <row r="53" customFormat="false" ht="15" hidden="false" customHeight="false" outlineLevel="0" collapsed="false">
      <c r="A53" s="10"/>
      <c r="B53" s="10"/>
      <c r="C53" s="10"/>
      <c r="D53" s="10"/>
      <c r="E53" s="10"/>
      <c r="F53" s="10"/>
      <c r="G53" s="10"/>
      <c r="H53" s="10"/>
      <c r="I53" s="23" t="n">
        <f aca="false">SUMIF('Tower Roster'!$A$5:$A$44,D53,'Tower Roster'!$C$5:$C$44)+SUMIF('Tower Roster'!$A$5:$A$44,E53,'Tower Roster'!$C$5:$C$44)+SUMIF('Tower Roster'!$A$5:$A$44,F53,'Tower Roster'!$C$5:$C$44)+SUMIF('Tower Roster'!$A$5:$A$44,G53,'Tower Roster'!$C$5:$C$44)+SUMIF('Tower Roster'!$A$5:$A$44,H53,'Tower Roster'!$C$5:$C$44)</f>
        <v>0</v>
      </c>
      <c r="J53" s="10"/>
      <c r="K53" s="10"/>
      <c r="L53" s="24"/>
      <c r="M53" s="10"/>
    </row>
    <row r="54" customFormat="false" ht="15" hidden="false" customHeight="false" outlineLevel="0" collapsed="false">
      <c r="A54" s="10"/>
      <c r="B54" s="10"/>
      <c r="C54" s="10"/>
      <c r="D54" s="10"/>
      <c r="E54" s="10"/>
      <c r="F54" s="10"/>
      <c r="G54" s="10"/>
      <c r="H54" s="10"/>
      <c r="I54" s="23" t="n">
        <f aca="false">SUMIF('Tower Roster'!$A$5:$A$44,D54,'Tower Roster'!$C$5:$C$44)+SUMIF('Tower Roster'!$A$5:$A$44,E54,'Tower Roster'!$C$5:$C$44)+SUMIF('Tower Roster'!$A$5:$A$44,F54,'Tower Roster'!$C$5:$C$44)+SUMIF('Tower Roster'!$A$5:$A$44,G54,'Tower Roster'!$C$5:$C$44)+SUMIF('Tower Roster'!$A$5:$A$44,H54,'Tower Roster'!$C$5:$C$44)</f>
        <v>0</v>
      </c>
      <c r="J54" s="10"/>
      <c r="K54" s="10"/>
      <c r="L54" s="24"/>
      <c r="M54" s="10"/>
    </row>
    <row r="55" customFormat="false" ht="15" hidden="false" customHeight="false" outlineLevel="0" collapsed="false">
      <c r="A55" s="10"/>
      <c r="B55" s="10"/>
      <c r="C55" s="10"/>
      <c r="D55" s="10"/>
      <c r="E55" s="10"/>
      <c r="F55" s="10"/>
      <c r="G55" s="10"/>
      <c r="H55" s="10"/>
      <c r="I55" s="23" t="n">
        <f aca="false">SUMIF('Tower Roster'!$A$5:$A$44,D55,'Tower Roster'!$C$5:$C$44)+SUMIF('Tower Roster'!$A$5:$A$44,E55,'Tower Roster'!$C$5:$C$44)+SUMIF('Tower Roster'!$A$5:$A$44,F55,'Tower Roster'!$C$5:$C$44)+SUMIF('Tower Roster'!$A$5:$A$44,G55,'Tower Roster'!$C$5:$C$44)+SUMIF('Tower Roster'!$A$5:$A$44,H55,'Tower Roster'!$C$5:$C$44)</f>
        <v>0</v>
      </c>
      <c r="J55" s="10"/>
      <c r="K55" s="10"/>
      <c r="L55" s="24"/>
      <c r="M55" s="10"/>
    </row>
    <row r="56" customFormat="false" ht="15" hidden="false" customHeight="false" outlineLevel="0" collapsed="false">
      <c r="A56" s="10"/>
      <c r="B56" s="10"/>
      <c r="C56" s="10"/>
      <c r="D56" s="10"/>
      <c r="E56" s="10"/>
      <c r="F56" s="10"/>
      <c r="G56" s="10"/>
      <c r="H56" s="10"/>
      <c r="I56" s="23" t="n">
        <f aca="false">SUMIF('Tower Roster'!$A$5:$A$44,D56,'Tower Roster'!$C$5:$C$44)+SUMIF('Tower Roster'!$A$5:$A$44,E56,'Tower Roster'!$C$5:$C$44)+SUMIF('Tower Roster'!$A$5:$A$44,F56,'Tower Roster'!$C$5:$C$44)+SUMIF('Tower Roster'!$A$5:$A$44,G56,'Tower Roster'!$C$5:$C$44)+SUMIF('Tower Roster'!$A$5:$A$44,H56,'Tower Roster'!$C$5:$C$44)</f>
        <v>0</v>
      </c>
      <c r="J56" s="10"/>
      <c r="K56" s="10"/>
      <c r="L56" s="24"/>
      <c r="M56" s="10"/>
    </row>
    <row r="57" customFormat="false" ht="15" hidden="false" customHeight="false" outlineLevel="0" collapsed="false">
      <c r="A57" s="10"/>
      <c r="B57" s="10"/>
      <c r="C57" s="10"/>
      <c r="D57" s="10"/>
      <c r="E57" s="10"/>
      <c r="F57" s="10"/>
      <c r="G57" s="10"/>
      <c r="H57" s="10"/>
      <c r="I57" s="23" t="n">
        <f aca="false">SUMIF('Tower Roster'!$A$5:$A$44,D57,'Tower Roster'!$C$5:$C$44)+SUMIF('Tower Roster'!$A$5:$A$44,E57,'Tower Roster'!$C$5:$C$44)+SUMIF('Tower Roster'!$A$5:$A$44,F57,'Tower Roster'!$C$5:$C$44)+SUMIF('Tower Roster'!$A$5:$A$44,G57,'Tower Roster'!$C$5:$C$44)+SUMIF('Tower Roster'!$A$5:$A$44,H57,'Tower Roster'!$C$5:$C$44)</f>
        <v>0</v>
      </c>
      <c r="J57" s="10"/>
      <c r="K57" s="10"/>
      <c r="L57" s="24"/>
      <c r="M57" s="10"/>
    </row>
    <row r="58" customFormat="false" ht="15" hidden="false" customHeight="false" outlineLevel="0" collapsed="false">
      <c r="A58" s="10"/>
      <c r="B58" s="10"/>
      <c r="C58" s="10"/>
      <c r="D58" s="10"/>
      <c r="E58" s="10"/>
      <c r="F58" s="10"/>
      <c r="G58" s="10"/>
      <c r="H58" s="10"/>
      <c r="I58" s="23" t="n">
        <f aca="false">SUMIF('Tower Roster'!$A$5:$A$44,D58,'Tower Roster'!$C$5:$C$44)+SUMIF('Tower Roster'!$A$5:$A$44,E58,'Tower Roster'!$C$5:$C$44)+SUMIF('Tower Roster'!$A$5:$A$44,F58,'Tower Roster'!$C$5:$C$44)+SUMIF('Tower Roster'!$A$5:$A$44,G58,'Tower Roster'!$C$5:$C$44)+SUMIF('Tower Roster'!$A$5:$A$44,H58,'Tower Roster'!$C$5:$C$44)</f>
        <v>0</v>
      </c>
      <c r="J58" s="10"/>
      <c r="K58" s="10"/>
      <c r="L58" s="24"/>
      <c r="M58" s="10"/>
    </row>
    <row r="59" customFormat="false" ht="15" hidden="false" customHeight="false" outlineLevel="0" collapsed="false">
      <c r="A59" s="10"/>
      <c r="B59" s="10"/>
      <c r="C59" s="10"/>
      <c r="D59" s="10"/>
      <c r="E59" s="10"/>
      <c r="F59" s="10"/>
      <c r="G59" s="10"/>
      <c r="H59" s="10"/>
      <c r="I59" s="23" t="n">
        <f aca="false">SUMIF('Tower Roster'!$A$5:$A$44,D59,'Tower Roster'!$C$5:$C$44)+SUMIF('Tower Roster'!$A$5:$A$44,E59,'Tower Roster'!$C$5:$C$44)+SUMIF('Tower Roster'!$A$5:$A$44,F59,'Tower Roster'!$C$5:$C$44)+SUMIF('Tower Roster'!$A$5:$A$44,G59,'Tower Roster'!$C$5:$C$44)+SUMIF('Tower Roster'!$A$5:$A$44,H59,'Tower Roster'!$C$5:$C$44)</f>
        <v>0</v>
      </c>
      <c r="J59" s="10"/>
      <c r="K59" s="10"/>
      <c r="L59" s="24"/>
      <c r="M59" s="10"/>
    </row>
    <row r="60" customFormat="false" ht="15" hidden="false" customHeight="false" outlineLevel="0" collapsed="false">
      <c r="A60" s="10"/>
      <c r="B60" s="10"/>
      <c r="C60" s="10"/>
      <c r="D60" s="10"/>
      <c r="E60" s="10"/>
      <c r="F60" s="10"/>
      <c r="G60" s="10"/>
      <c r="H60" s="10"/>
      <c r="I60" s="23" t="n">
        <f aca="false">SUMIF('Tower Roster'!$A$5:$A$44,D60,'Tower Roster'!$C$5:$C$44)+SUMIF('Tower Roster'!$A$5:$A$44,E60,'Tower Roster'!$C$5:$C$44)+SUMIF('Tower Roster'!$A$5:$A$44,F60,'Tower Roster'!$C$5:$C$44)+SUMIF('Tower Roster'!$A$5:$A$44,G60,'Tower Roster'!$C$5:$C$44)+SUMIF('Tower Roster'!$A$5:$A$44,H60,'Tower Roster'!$C$5:$C$44)</f>
        <v>0</v>
      </c>
      <c r="J60" s="10"/>
      <c r="K60" s="10"/>
      <c r="L60" s="24"/>
      <c r="M60" s="10"/>
    </row>
    <row r="61" customFormat="false" ht="15" hidden="false" customHeight="false" outlineLevel="0" collapsed="false">
      <c r="A61" s="10"/>
      <c r="B61" s="10"/>
      <c r="C61" s="10"/>
      <c r="D61" s="10"/>
      <c r="E61" s="10"/>
      <c r="F61" s="10"/>
      <c r="G61" s="10"/>
      <c r="H61" s="10"/>
      <c r="I61" s="23" t="n">
        <f aca="false">SUMIF('Tower Roster'!$A$5:$A$44,D61,'Tower Roster'!$C$5:$C$44)+SUMIF('Tower Roster'!$A$5:$A$44,E61,'Tower Roster'!$C$5:$C$44)+SUMIF('Tower Roster'!$A$5:$A$44,F61,'Tower Roster'!$C$5:$C$44)+SUMIF('Tower Roster'!$A$5:$A$44,G61,'Tower Roster'!$C$5:$C$44)+SUMIF('Tower Roster'!$A$5:$A$44,H61,'Tower Roster'!$C$5:$C$44)</f>
        <v>0</v>
      </c>
      <c r="J61" s="10"/>
      <c r="K61" s="10"/>
      <c r="L61" s="24"/>
      <c r="M61" s="10"/>
    </row>
    <row r="62" customFormat="false" ht="15" hidden="false" customHeight="false" outlineLevel="0" collapsed="false">
      <c r="A62" s="10"/>
      <c r="B62" s="10"/>
      <c r="C62" s="10"/>
      <c r="D62" s="10"/>
      <c r="E62" s="10"/>
      <c r="F62" s="10"/>
      <c r="G62" s="10"/>
      <c r="H62" s="10"/>
      <c r="I62" s="23" t="n">
        <f aca="false">SUMIF('Tower Roster'!$A$5:$A$44,D62,'Tower Roster'!$C$5:$C$44)+SUMIF('Tower Roster'!$A$5:$A$44,E62,'Tower Roster'!$C$5:$C$44)+SUMIF('Tower Roster'!$A$5:$A$44,F62,'Tower Roster'!$C$5:$C$44)+SUMIF('Tower Roster'!$A$5:$A$44,G62,'Tower Roster'!$C$5:$C$44)+SUMIF('Tower Roster'!$A$5:$A$44,H62,'Tower Roster'!$C$5:$C$44)</f>
        <v>0</v>
      </c>
      <c r="J62" s="10"/>
      <c r="K62" s="10"/>
      <c r="L62" s="24"/>
      <c r="M62" s="10"/>
    </row>
    <row r="63" customFormat="false" ht="15" hidden="false" customHeight="false" outlineLevel="0" collapsed="false">
      <c r="A63" s="10"/>
      <c r="B63" s="10"/>
      <c r="C63" s="10"/>
      <c r="D63" s="10"/>
      <c r="E63" s="10"/>
      <c r="F63" s="10"/>
      <c r="G63" s="10"/>
      <c r="H63" s="10"/>
      <c r="I63" s="23" t="n">
        <f aca="false">SUMIF('Tower Roster'!$A$5:$A$44,D63,'Tower Roster'!$C$5:$C$44)+SUMIF('Tower Roster'!$A$5:$A$44,E63,'Tower Roster'!$C$5:$C$44)+SUMIF('Tower Roster'!$A$5:$A$44,F63,'Tower Roster'!$C$5:$C$44)+SUMIF('Tower Roster'!$A$5:$A$44,G63,'Tower Roster'!$C$5:$C$44)+SUMIF('Tower Roster'!$A$5:$A$44,H63,'Tower Roster'!$C$5:$C$44)</f>
        <v>0</v>
      </c>
      <c r="J63" s="10"/>
      <c r="K63" s="10"/>
      <c r="L63" s="24"/>
      <c r="M63" s="10"/>
    </row>
    <row r="64" customFormat="false" ht="15" hidden="false" customHeight="false" outlineLevel="0" collapsed="false">
      <c r="A64" s="10"/>
      <c r="B64" s="10"/>
      <c r="C64" s="10"/>
      <c r="D64" s="10"/>
      <c r="E64" s="10"/>
      <c r="F64" s="10"/>
      <c r="G64" s="10"/>
      <c r="H64" s="10"/>
      <c r="I64" s="23" t="n">
        <f aca="false">SUMIF('Tower Roster'!$A$5:$A$44,D64,'Tower Roster'!$C$5:$C$44)+SUMIF('Tower Roster'!$A$5:$A$44,E64,'Tower Roster'!$C$5:$C$44)+SUMIF('Tower Roster'!$A$5:$A$44,F64,'Tower Roster'!$C$5:$C$44)+SUMIF('Tower Roster'!$A$5:$A$44,G64,'Tower Roster'!$C$5:$C$44)+SUMIF('Tower Roster'!$A$5:$A$44,H64,'Tower Roster'!$C$5:$C$44)</f>
        <v>0</v>
      </c>
      <c r="J64" s="10"/>
      <c r="K64" s="10"/>
      <c r="L64" s="24"/>
      <c r="M64" s="10"/>
    </row>
    <row r="65" customFormat="false" ht="15" hidden="false" customHeight="false" outlineLevel="0" collapsed="false">
      <c r="A65" s="10"/>
      <c r="B65" s="10"/>
      <c r="C65" s="10"/>
      <c r="D65" s="10"/>
      <c r="E65" s="10"/>
      <c r="F65" s="10"/>
      <c r="G65" s="10"/>
      <c r="H65" s="10"/>
      <c r="I65" s="23" t="n">
        <f aca="false">SUMIF('Tower Roster'!$A$5:$A$44,D65,'Tower Roster'!$C$5:$C$44)+SUMIF('Tower Roster'!$A$5:$A$44,E65,'Tower Roster'!$C$5:$C$44)+SUMIF('Tower Roster'!$A$5:$A$44,F65,'Tower Roster'!$C$5:$C$44)+SUMIF('Tower Roster'!$A$5:$A$44,G65,'Tower Roster'!$C$5:$C$44)+SUMIF('Tower Roster'!$A$5:$A$44,H65,'Tower Roster'!$C$5:$C$44)</f>
        <v>0</v>
      </c>
      <c r="J65" s="10"/>
      <c r="K65" s="10"/>
      <c r="L65" s="24"/>
      <c r="M65" s="10"/>
    </row>
    <row r="66" customFormat="false" ht="15" hidden="false" customHeight="false" outlineLevel="0" collapsed="false">
      <c r="A66" s="10"/>
      <c r="B66" s="10"/>
      <c r="C66" s="10"/>
      <c r="D66" s="10"/>
      <c r="E66" s="10"/>
      <c r="F66" s="10"/>
      <c r="G66" s="10"/>
      <c r="H66" s="10"/>
      <c r="I66" s="23" t="n">
        <f aca="false">SUMIF('Tower Roster'!$A$5:$A$44,D66,'Tower Roster'!$C$5:$C$44)+SUMIF('Tower Roster'!$A$5:$A$44,E66,'Tower Roster'!$C$5:$C$44)+SUMIF('Tower Roster'!$A$5:$A$44,F66,'Tower Roster'!$C$5:$C$44)+SUMIF('Tower Roster'!$A$5:$A$44,G66,'Tower Roster'!$C$5:$C$44)+SUMIF('Tower Roster'!$A$5:$A$44,H66,'Tower Roster'!$C$5:$C$44)</f>
        <v>0</v>
      </c>
      <c r="J66" s="10"/>
      <c r="K66" s="10"/>
      <c r="L66" s="24"/>
      <c r="M66" s="10"/>
    </row>
    <row r="67" customFormat="false" ht="15" hidden="false" customHeight="false" outlineLevel="0" collapsed="false">
      <c r="A67" s="10"/>
      <c r="B67" s="10"/>
      <c r="C67" s="10"/>
      <c r="D67" s="10"/>
      <c r="E67" s="10"/>
      <c r="F67" s="10"/>
      <c r="G67" s="10"/>
      <c r="H67" s="10"/>
      <c r="I67" s="23" t="n">
        <f aca="false">SUMIF('Tower Roster'!$A$5:$A$44,D67,'Tower Roster'!$C$5:$C$44)+SUMIF('Tower Roster'!$A$5:$A$44,E67,'Tower Roster'!$C$5:$C$44)+SUMIF('Tower Roster'!$A$5:$A$44,F67,'Tower Roster'!$C$5:$C$44)+SUMIF('Tower Roster'!$A$5:$A$44,G67,'Tower Roster'!$C$5:$C$44)+SUMIF('Tower Roster'!$A$5:$A$44,H67,'Tower Roster'!$C$5:$C$44)</f>
        <v>0</v>
      </c>
      <c r="J67" s="10"/>
      <c r="K67" s="10"/>
      <c r="L67" s="24"/>
      <c r="M67" s="10"/>
    </row>
    <row r="68" customFormat="false" ht="15" hidden="false" customHeight="false" outlineLevel="0" collapsed="false">
      <c r="A68" s="10"/>
      <c r="B68" s="10"/>
      <c r="C68" s="10"/>
      <c r="D68" s="10"/>
      <c r="E68" s="10"/>
      <c r="F68" s="10"/>
      <c r="G68" s="10"/>
      <c r="H68" s="10"/>
      <c r="I68" s="23" t="n">
        <f aca="false">SUMIF('Tower Roster'!$A$5:$A$44,D68,'Tower Roster'!$C$5:$C$44)+SUMIF('Tower Roster'!$A$5:$A$44,E68,'Tower Roster'!$C$5:$C$44)+SUMIF('Tower Roster'!$A$5:$A$44,F68,'Tower Roster'!$C$5:$C$44)+SUMIF('Tower Roster'!$A$5:$A$44,G68,'Tower Roster'!$C$5:$C$44)+SUMIF('Tower Roster'!$A$5:$A$44,H68,'Tower Roster'!$C$5:$C$44)</f>
        <v>0</v>
      </c>
      <c r="J68" s="10"/>
      <c r="K68" s="10"/>
      <c r="L68" s="24"/>
      <c r="M68" s="10"/>
    </row>
    <row r="69" customFormat="false" ht="15" hidden="false" customHeight="false" outlineLevel="0" collapsed="false">
      <c r="A69" s="10"/>
      <c r="B69" s="10"/>
      <c r="C69" s="10"/>
      <c r="D69" s="10"/>
      <c r="E69" s="10"/>
      <c r="F69" s="10"/>
      <c r="G69" s="10"/>
      <c r="H69" s="10"/>
      <c r="I69" s="23" t="n">
        <f aca="false">SUMIF('Tower Roster'!$A$5:$A$44,D69,'Tower Roster'!$C$5:$C$44)+SUMIF('Tower Roster'!$A$5:$A$44,E69,'Tower Roster'!$C$5:$C$44)+SUMIF('Tower Roster'!$A$5:$A$44,F69,'Tower Roster'!$C$5:$C$44)+SUMIF('Tower Roster'!$A$5:$A$44,G69,'Tower Roster'!$C$5:$C$44)+SUMIF('Tower Roster'!$A$5:$A$44,H69,'Tower Roster'!$C$5:$C$44)</f>
        <v>0</v>
      </c>
      <c r="J69" s="10"/>
      <c r="K69" s="10"/>
      <c r="L69" s="24"/>
      <c r="M69" s="10"/>
    </row>
    <row r="70" customFormat="false" ht="15" hidden="false" customHeight="false" outlineLevel="0" collapsed="false">
      <c r="A70" s="10"/>
      <c r="B70" s="10"/>
      <c r="C70" s="10"/>
      <c r="D70" s="10"/>
      <c r="E70" s="10"/>
      <c r="F70" s="10"/>
      <c r="G70" s="10"/>
      <c r="H70" s="10"/>
      <c r="I70" s="23" t="n">
        <f aca="false">SUMIF('Tower Roster'!$A$5:$A$44,D70,'Tower Roster'!$C$5:$C$44)+SUMIF('Tower Roster'!$A$5:$A$44,E70,'Tower Roster'!$C$5:$C$44)+SUMIF('Tower Roster'!$A$5:$A$44,F70,'Tower Roster'!$C$5:$C$44)+SUMIF('Tower Roster'!$A$5:$A$44,G70,'Tower Roster'!$C$5:$C$44)+SUMIF('Tower Roster'!$A$5:$A$44,H70,'Tower Roster'!$C$5:$C$44)</f>
        <v>0</v>
      </c>
      <c r="J70" s="10"/>
      <c r="K70" s="10"/>
      <c r="L70" s="24"/>
      <c r="M70" s="10"/>
    </row>
    <row r="71" customFormat="false" ht="15" hidden="false" customHeight="false" outlineLevel="0" collapsed="false">
      <c r="A71" s="10"/>
      <c r="B71" s="10"/>
      <c r="C71" s="10"/>
      <c r="D71" s="10"/>
      <c r="E71" s="10"/>
      <c r="F71" s="10"/>
      <c r="G71" s="10"/>
      <c r="H71" s="10"/>
      <c r="I71" s="23" t="n">
        <f aca="false">SUMIF('Tower Roster'!$A$5:$A$44,D71,'Tower Roster'!$C$5:$C$44)+SUMIF('Tower Roster'!$A$5:$A$44,E71,'Tower Roster'!$C$5:$C$44)+SUMIF('Tower Roster'!$A$5:$A$44,F71,'Tower Roster'!$C$5:$C$44)+SUMIF('Tower Roster'!$A$5:$A$44,G71,'Tower Roster'!$C$5:$C$44)+SUMIF('Tower Roster'!$A$5:$A$44,H71,'Tower Roster'!$C$5:$C$44)</f>
        <v>0</v>
      </c>
      <c r="J71" s="10"/>
      <c r="K71" s="10"/>
      <c r="L71" s="24"/>
      <c r="M71" s="10"/>
    </row>
    <row r="72" customFormat="false" ht="15" hidden="false" customHeight="false" outlineLevel="0" collapsed="false">
      <c r="A72" s="10"/>
      <c r="B72" s="10"/>
      <c r="C72" s="10"/>
      <c r="D72" s="10"/>
      <c r="E72" s="10"/>
      <c r="F72" s="10"/>
      <c r="G72" s="10"/>
      <c r="H72" s="10"/>
      <c r="I72" s="23" t="n">
        <f aca="false">SUMIF('Tower Roster'!$A$5:$A$44,D72,'Tower Roster'!$C$5:$C$44)+SUMIF('Tower Roster'!$A$5:$A$44,E72,'Tower Roster'!$C$5:$C$44)+SUMIF('Tower Roster'!$A$5:$A$44,F72,'Tower Roster'!$C$5:$C$44)+SUMIF('Tower Roster'!$A$5:$A$44,G72,'Tower Roster'!$C$5:$C$44)+SUMIF('Tower Roster'!$A$5:$A$44,H72,'Tower Roster'!$C$5:$C$44)</f>
        <v>0</v>
      </c>
      <c r="J72" s="10"/>
      <c r="K72" s="10"/>
      <c r="L72" s="24"/>
      <c r="M72" s="10"/>
    </row>
    <row r="74" customFormat="false" ht="15" hidden="false" customHeight="false" outlineLevel="0" collapsed="false">
      <c r="A74" s="2" t="s">
        <v>229</v>
      </c>
    </row>
  </sheetData>
  <conditionalFormatting sqref="F10:F29">
    <cfRule type="cellIs" priority="2" operator="equal" aboveAverage="0" equalAverage="0" bottom="0" percent="0" rank="0" text="" dxfId="8">
      <formula>"Claimed"</formula>
    </cfRule>
    <cfRule type="expression" priority="3" aboveAverage="0" equalAverage="0" bottom="0" percent="0" rank="0" text="" dxfId="9">
      <formula>AND($B10&lt;=$B$5,$F10&lt;&gt;"Claimed")</formula>
    </cfRule>
  </conditionalFormatting>
  <conditionalFormatting sqref="J33:J72">
    <cfRule type="cellIs" priority="4" operator="equal" aboveAverage="0" equalAverage="0" bottom="0" percent="0" rank="0" text="" dxfId="8">
      <formula>"Cleared"</formula>
    </cfRule>
    <cfRule type="cellIs" priority="5" operator="equal" aboveAverage="0" equalAverage="0" bottom="0" percent="0" rank="0" text="" dxfId="10">
      <formula>"Failed"</formula>
    </cfRule>
  </conditionalFormatting>
  <dataValidations count="3">
    <dataValidation allowBlank="false" errorStyle="stop" operator="between" showDropDown="false" showErrorMessage="false" showInputMessage="false" sqref="F10:F29" type="list">
      <formula1>"Claimed,Not claimed"</formula1>
      <formula2>0</formula2>
    </dataValidation>
    <dataValidation allowBlank="true" errorStyle="stop" operator="between" showDropDown="false" showErrorMessage="false" showInputMessage="false" sqref="J33:J72" type="list">
      <formula1>"Cleared,Failed,Not tried"</formula1>
      <formula2>0</formula2>
    </dataValidation>
    <dataValidation allowBlank="true" errorStyle="stop" operator="between" showDropDown="false" showErrorMessage="false" showInputMessage="false" sqref="B33:B72" type="list">
      <formula1>"Normal,Hard,Omega"</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7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2" topLeftCell="A13"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2"/>
    <col collapsed="false" customWidth="true" hidden="false" outlineLevel="0" max="2" min="2" style="0" width="16"/>
    <col collapsed="false" customWidth="true" hidden="false" outlineLevel="0" max="3" min="3" style="0" width="40"/>
    <col collapsed="false" customWidth="true" hidden="false" outlineLevel="0" max="4" min="4" style="0" width="28"/>
    <col collapsed="false" customWidth="true" hidden="false" outlineLevel="0" max="5" min="5" style="0" width="16"/>
    <col collapsed="false" customWidth="true" hidden="false" outlineLevel="0" max="6" min="6" style="0" width="14"/>
  </cols>
  <sheetData>
    <row r="1" customFormat="false" ht="17.35" hidden="false" customHeight="false" outlineLevel="0" collapsed="false">
      <c r="A1" s="1" t="s">
        <v>230</v>
      </c>
    </row>
    <row r="2" customFormat="false" ht="15" hidden="false" customHeight="false" outlineLevel="0" collapsed="false">
      <c r="A2" s="2" t="s">
        <v>231</v>
      </c>
    </row>
    <row r="4" customFormat="false" ht="15" hidden="false" customHeight="false" outlineLevel="0" collapsed="false">
      <c r="A4" s="15" t="s">
        <v>232</v>
      </c>
      <c r="B4" s="15" t="s">
        <v>233</v>
      </c>
    </row>
    <row r="5" customFormat="false" ht="15" hidden="false" customHeight="false" outlineLevel="0" collapsed="false">
      <c r="A5" s="15" t="s">
        <v>163</v>
      </c>
      <c r="B5" s="17" t="n">
        <v>46313.7083333333</v>
      </c>
    </row>
    <row r="6" customFormat="false" ht="15" hidden="false" customHeight="false" outlineLevel="0" collapsed="false">
      <c r="A6" s="15" t="s">
        <v>234</v>
      </c>
      <c r="B6" s="18" t="n">
        <v>666802650</v>
      </c>
      <c r="D6" s="15" t="s">
        <v>235</v>
      </c>
      <c r="E6" s="19" t="n">
        <f aca="false">B6+Scoring!F51</f>
        <v>6024802650</v>
      </c>
    </row>
    <row r="7" customFormat="false" ht="15" hidden="false" customHeight="false" outlineLevel="0" collapsed="false">
      <c r="A7" s="15" t="s">
        <v>236</v>
      </c>
      <c r="B7" s="15" t="n">
        <f aca="false">SUMPRODUCT((B13:B76&lt;&gt;"")*(B13:B76&lt;=B6))+SUMPRODUCT((B13:B76="")*(F13:F76="Claimed"))</f>
        <v>46</v>
      </c>
      <c r="D7" s="15" t="s">
        <v>237</v>
      </c>
      <c r="E7" s="15" t="n">
        <f aca="false">IFERROR(INDEX(A13:A76,MATCH(E6,B13:B76,1)),37)</f>
        <v>64</v>
      </c>
    </row>
    <row r="8" customFormat="false" ht="15" hidden="false" customHeight="false" outlineLevel="0" collapsed="false">
      <c r="A8" s="15" t="s">
        <v>165</v>
      </c>
      <c r="B8" s="15" t="n">
        <f aca="false">IFERROR(INDEX(A13:A76,MATCH(TRUE(),INDEX(B13:B76&gt;B6,0),0)),"All done")</f>
        <v>47</v>
      </c>
      <c r="D8" s="15" t="s">
        <v>238</v>
      </c>
      <c r="E8" s="15" t="n">
        <f aca="false">SUMPRODUCT((B13:B76&lt;&gt;"")*(B13:B76&lt;=B6)*(F13:F76&lt;&gt;"Claimed"))</f>
        <v>0</v>
      </c>
    </row>
    <row r="9" customFormat="false" ht="15" hidden="false" customHeight="false" outlineLevel="0" collapsed="false">
      <c r="A9" s="15" t="s">
        <v>166</v>
      </c>
      <c r="B9" s="19" t="n">
        <f aca="false">IFERROR(INDEX(E13:E76,MATCH(TRUE(),INDEX(B13:B76&gt;B6,0),0)),0)</f>
        <v>23197350</v>
      </c>
    </row>
    <row r="10" customFormat="false" ht="15" hidden="false" customHeight="false" outlineLevel="0" collapsed="false">
      <c r="A10" s="15" t="s">
        <v>239</v>
      </c>
      <c r="B10" s="19" t="n">
        <f aca="false">MAX(0,B76-B6)</f>
        <v>3458197350</v>
      </c>
    </row>
    <row r="11" customFormat="false" ht="15" hidden="false" customHeight="false" outlineLevel="0" collapsed="false">
      <c r="A11" s="15" t="s">
        <v>240</v>
      </c>
      <c r="B11" s="19" t="n">
        <f aca="true">IFERROR(B10/MAX(B5-NOW(),0.01),0)</f>
        <v>550168601.469724</v>
      </c>
    </row>
    <row r="12" customFormat="false" ht="15" hidden="false" customHeight="false" outlineLevel="0" collapsed="false">
      <c r="A12" s="20" t="s">
        <v>167</v>
      </c>
      <c r="B12" s="20" t="s">
        <v>241</v>
      </c>
      <c r="C12" s="20" t="s">
        <v>170</v>
      </c>
      <c r="D12" s="20" t="s">
        <v>13</v>
      </c>
      <c r="E12" s="20" t="s">
        <v>242</v>
      </c>
      <c r="F12" s="20" t="s">
        <v>12</v>
      </c>
    </row>
    <row r="13" customFormat="false" ht="15" hidden="false" customHeight="false" outlineLevel="0" collapsed="false">
      <c r="A13" s="25" t="n">
        <v>1</v>
      </c>
      <c r="B13" s="13"/>
      <c r="C13" s="11" t="s">
        <v>243</v>
      </c>
      <c r="D13" s="11"/>
      <c r="E13" s="23" t="str">
        <f aca="false">IF(B13="","",MAX(0,B13-$B$6))</f>
        <v/>
      </c>
      <c r="F13" s="10" t="s">
        <v>174</v>
      </c>
    </row>
    <row r="14" customFormat="false" ht="15" hidden="false" customHeight="false" outlineLevel="0" collapsed="false">
      <c r="A14" s="25" t="n">
        <v>2</v>
      </c>
      <c r="B14" s="13"/>
      <c r="C14" s="11" t="s">
        <v>244</v>
      </c>
      <c r="D14" s="11"/>
      <c r="E14" s="23" t="str">
        <f aca="false">IF(B14="","",MAX(0,B14-$B$6))</f>
        <v/>
      </c>
      <c r="F14" s="10" t="s">
        <v>174</v>
      </c>
    </row>
    <row r="15" customFormat="false" ht="15" hidden="false" customHeight="false" outlineLevel="0" collapsed="false">
      <c r="A15" s="25" t="n">
        <v>3</v>
      </c>
      <c r="B15" s="13"/>
      <c r="C15" s="11" t="s">
        <v>245</v>
      </c>
      <c r="D15" s="11"/>
      <c r="E15" s="23" t="str">
        <f aca="false">IF(B15="","",MAX(0,B15-$B$6))</f>
        <v/>
      </c>
      <c r="F15" s="10" t="s">
        <v>174</v>
      </c>
    </row>
    <row r="16" customFormat="false" ht="15" hidden="false" customHeight="false" outlineLevel="0" collapsed="false">
      <c r="A16" s="25" t="n">
        <v>4</v>
      </c>
      <c r="B16" s="13"/>
      <c r="C16" s="11" t="s">
        <v>246</v>
      </c>
      <c r="D16" s="11"/>
      <c r="E16" s="23" t="str">
        <f aca="false">IF(B16="","",MAX(0,B16-$B$6))</f>
        <v/>
      </c>
      <c r="F16" s="10" t="s">
        <v>174</v>
      </c>
    </row>
    <row r="17" customFormat="false" ht="15" hidden="false" customHeight="false" outlineLevel="0" collapsed="false">
      <c r="A17" s="25" t="n">
        <v>5</v>
      </c>
      <c r="B17" s="13"/>
      <c r="C17" s="11" t="s">
        <v>247</v>
      </c>
      <c r="D17" s="11"/>
      <c r="E17" s="23" t="str">
        <f aca="false">IF(B17="","",MAX(0,B17-$B$6))</f>
        <v/>
      </c>
      <c r="F17" s="10" t="s">
        <v>174</v>
      </c>
    </row>
    <row r="18" customFormat="false" ht="15" hidden="false" customHeight="false" outlineLevel="0" collapsed="false">
      <c r="A18" s="25" t="n">
        <v>6</v>
      </c>
      <c r="B18" s="13"/>
      <c r="C18" s="11" t="s">
        <v>248</v>
      </c>
      <c r="D18" s="11"/>
      <c r="E18" s="23" t="str">
        <f aca="false">IF(B18="","",MAX(0,B18-$B$6))</f>
        <v/>
      </c>
      <c r="F18" s="10" t="s">
        <v>174</v>
      </c>
    </row>
    <row r="19" customFormat="false" ht="15" hidden="false" customHeight="false" outlineLevel="0" collapsed="false">
      <c r="A19" s="25" t="n">
        <v>7</v>
      </c>
      <c r="B19" s="13"/>
      <c r="C19" s="11" t="s">
        <v>249</v>
      </c>
      <c r="D19" s="11"/>
      <c r="E19" s="23" t="str">
        <f aca="false">IF(B19="","",MAX(0,B19-$B$6))</f>
        <v/>
      </c>
      <c r="F19" s="10" t="s">
        <v>174</v>
      </c>
    </row>
    <row r="20" customFormat="false" ht="15" hidden="false" customHeight="false" outlineLevel="0" collapsed="false">
      <c r="A20" s="25" t="n">
        <v>8</v>
      </c>
      <c r="B20" s="13"/>
      <c r="C20" s="11" t="s">
        <v>250</v>
      </c>
      <c r="D20" s="11"/>
      <c r="E20" s="23" t="str">
        <f aca="false">IF(B20="","",MAX(0,B20-$B$6))</f>
        <v/>
      </c>
      <c r="F20" s="10" t="s">
        <v>174</v>
      </c>
    </row>
    <row r="21" customFormat="false" ht="15" hidden="false" customHeight="false" outlineLevel="0" collapsed="false">
      <c r="A21" s="25" t="n">
        <v>9</v>
      </c>
      <c r="B21" s="13"/>
      <c r="C21" s="11" t="s">
        <v>251</v>
      </c>
      <c r="D21" s="11"/>
      <c r="E21" s="23" t="str">
        <f aca="false">IF(B21="","",MAX(0,B21-$B$6))</f>
        <v/>
      </c>
      <c r="F21" s="10" t="s">
        <v>174</v>
      </c>
    </row>
    <row r="22" customFormat="false" ht="15" hidden="false" customHeight="false" outlineLevel="0" collapsed="false">
      <c r="A22" s="25" t="n">
        <v>10</v>
      </c>
      <c r="B22" s="13"/>
      <c r="C22" s="11" t="s">
        <v>252</v>
      </c>
      <c r="D22" s="11"/>
      <c r="E22" s="23" t="str">
        <f aca="false">IF(B22="","",MAX(0,B22-$B$6))</f>
        <v/>
      </c>
      <c r="F22" s="10" t="s">
        <v>174</v>
      </c>
    </row>
    <row r="23" customFormat="false" ht="15" hidden="false" customHeight="false" outlineLevel="0" collapsed="false">
      <c r="A23" s="25" t="n">
        <v>11</v>
      </c>
      <c r="B23" s="13"/>
      <c r="C23" s="11" t="s">
        <v>253</v>
      </c>
      <c r="D23" s="11"/>
      <c r="E23" s="23" t="str">
        <f aca="false">IF(B23="","",MAX(0,B23-$B$6))</f>
        <v/>
      </c>
      <c r="F23" s="10" t="s">
        <v>174</v>
      </c>
    </row>
    <row r="24" customFormat="false" ht="15" hidden="false" customHeight="false" outlineLevel="0" collapsed="false">
      <c r="A24" s="25" t="n">
        <v>12</v>
      </c>
      <c r="B24" s="13"/>
      <c r="C24" s="11" t="s">
        <v>254</v>
      </c>
      <c r="D24" s="11"/>
      <c r="E24" s="23" t="str">
        <f aca="false">IF(B24="","",MAX(0,B24-$B$6))</f>
        <v/>
      </c>
      <c r="F24" s="10" t="s">
        <v>174</v>
      </c>
    </row>
    <row r="25" customFormat="false" ht="15" hidden="false" customHeight="false" outlineLevel="0" collapsed="false">
      <c r="A25" s="25" t="n">
        <v>13</v>
      </c>
      <c r="B25" s="13"/>
      <c r="C25" s="11" t="s">
        <v>255</v>
      </c>
      <c r="D25" s="11"/>
      <c r="E25" s="23" t="str">
        <f aca="false">IF(B25="","",MAX(0,B25-$B$6))</f>
        <v/>
      </c>
      <c r="F25" s="10" t="s">
        <v>174</v>
      </c>
    </row>
    <row r="26" customFormat="false" ht="15" hidden="false" customHeight="false" outlineLevel="0" collapsed="false">
      <c r="A26" s="25" t="n">
        <v>14</v>
      </c>
      <c r="B26" s="13"/>
      <c r="C26" s="11" t="s">
        <v>256</v>
      </c>
      <c r="D26" s="11"/>
      <c r="E26" s="23" t="str">
        <f aca="false">IF(B26="","",MAX(0,B26-$B$6))</f>
        <v/>
      </c>
      <c r="F26" s="10" t="s">
        <v>174</v>
      </c>
    </row>
    <row r="27" customFormat="false" ht="15" hidden="false" customHeight="false" outlineLevel="0" collapsed="false">
      <c r="A27" s="25" t="n">
        <v>15</v>
      </c>
      <c r="B27" s="13"/>
      <c r="C27" s="11" t="s">
        <v>257</v>
      </c>
      <c r="D27" s="11"/>
      <c r="E27" s="23" t="str">
        <f aca="false">IF(B27="","",MAX(0,B27-$B$6))</f>
        <v/>
      </c>
      <c r="F27" s="10" t="s">
        <v>174</v>
      </c>
    </row>
    <row r="28" customFormat="false" ht="15" hidden="false" customHeight="false" outlineLevel="0" collapsed="false">
      <c r="A28" s="25" t="n">
        <v>16</v>
      </c>
      <c r="B28" s="13"/>
      <c r="C28" s="11" t="s">
        <v>258</v>
      </c>
      <c r="D28" s="11"/>
      <c r="E28" s="23" t="str">
        <f aca="false">IF(B28="","",MAX(0,B28-$B$6))</f>
        <v/>
      </c>
      <c r="F28" s="10" t="s">
        <v>174</v>
      </c>
    </row>
    <row r="29" customFormat="false" ht="15" hidden="false" customHeight="false" outlineLevel="0" collapsed="false">
      <c r="A29" s="25" t="n">
        <v>17</v>
      </c>
      <c r="B29" s="13"/>
      <c r="C29" s="11" t="s">
        <v>259</v>
      </c>
      <c r="D29" s="11"/>
      <c r="E29" s="23" t="str">
        <f aca="false">IF(B29="","",MAX(0,B29-$B$6))</f>
        <v/>
      </c>
      <c r="F29" s="10" t="s">
        <v>174</v>
      </c>
    </row>
    <row r="30" customFormat="false" ht="15" hidden="false" customHeight="false" outlineLevel="0" collapsed="false">
      <c r="A30" s="25" t="n">
        <v>18</v>
      </c>
      <c r="B30" s="13"/>
      <c r="C30" s="11" t="s">
        <v>260</v>
      </c>
      <c r="D30" s="11"/>
      <c r="E30" s="23" t="str">
        <f aca="false">IF(B30="","",MAX(0,B30-$B$6))</f>
        <v/>
      </c>
      <c r="F30" s="10" t="s">
        <v>174</v>
      </c>
    </row>
    <row r="31" customFormat="false" ht="15" hidden="false" customHeight="false" outlineLevel="0" collapsed="false">
      <c r="A31" s="25" t="n">
        <v>19</v>
      </c>
      <c r="B31" s="13"/>
      <c r="C31" s="11" t="s">
        <v>261</v>
      </c>
      <c r="D31" s="11"/>
      <c r="E31" s="23" t="str">
        <f aca="false">IF(B31="","",MAX(0,B31-$B$6))</f>
        <v/>
      </c>
      <c r="F31" s="10" t="s">
        <v>174</v>
      </c>
    </row>
    <row r="32" customFormat="false" ht="15" hidden="false" customHeight="false" outlineLevel="0" collapsed="false">
      <c r="A32" s="25" t="n">
        <v>20</v>
      </c>
      <c r="B32" s="13"/>
      <c r="C32" s="11" t="s">
        <v>262</v>
      </c>
      <c r="D32" s="11"/>
      <c r="E32" s="23" t="str">
        <f aca="false">IF(B32="","",MAX(0,B32-$B$6))</f>
        <v/>
      </c>
      <c r="F32" s="10" t="s">
        <v>174</v>
      </c>
    </row>
    <row r="33" customFormat="false" ht="15" hidden="false" customHeight="false" outlineLevel="0" collapsed="false">
      <c r="A33" s="25" t="n">
        <v>21</v>
      </c>
      <c r="B33" s="13"/>
      <c r="C33" s="11" t="s">
        <v>263</v>
      </c>
      <c r="D33" s="11"/>
      <c r="E33" s="23" t="str">
        <f aca="false">IF(B33="","",MAX(0,B33-$B$6))</f>
        <v/>
      </c>
      <c r="F33" s="10" t="s">
        <v>174</v>
      </c>
    </row>
    <row r="34" customFormat="false" ht="15" hidden="false" customHeight="false" outlineLevel="0" collapsed="false">
      <c r="A34" s="25" t="n">
        <v>22</v>
      </c>
      <c r="B34" s="13"/>
      <c r="C34" s="11" t="s">
        <v>264</v>
      </c>
      <c r="D34" s="11"/>
      <c r="E34" s="23" t="str">
        <f aca="false">IF(B34="","",MAX(0,B34-$B$6))</f>
        <v/>
      </c>
      <c r="F34" s="10" t="s">
        <v>174</v>
      </c>
    </row>
    <row r="35" customFormat="false" ht="15" hidden="false" customHeight="false" outlineLevel="0" collapsed="false">
      <c r="A35" s="25" t="n">
        <v>23</v>
      </c>
      <c r="B35" s="13"/>
      <c r="C35" s="11" t="s">
        <v>265</v>
      </c>
      <c r="D35" s="11"/>
      <c r="E35" s="23" t="str">
        <f aca="false">IF(B35="","",MAX(0,B35-$B$6))</f>
        <v/>
      </c>
      <c r="F35" s="10" t="s">
        <v>174</v>
      </c>
    </row>
    <row r="36" customFormat="false" ht="15" hidden="false" customHeight="false" outlineLevel="0" collapsed="false">
      <c r="A36" s="25" t="n">
        <v>24</v>
      </c>
      <c r="B36" s="13"/>
      <c r="C36" s="11" t="s">
        <v>266</v>
      </c>
      <c r="D36" s="11"/>
      <c r="E36" s="23" t="str">
        <f aca="false">IF(B36="","",MAX(0,B36-$B$6))</f>
        <v/>
      </c>
      <c r="F36" s="10" t="s">
        <v>174</v>
      </c>
    </row>
    <row r="37" customFormat="false" ht="15" hidden="false" customHeight="false" outlineLevel="0" collapsed="false">
      <c r="A37" s="25" t="n">
        <v>25</v>
      </c>
      <c r="B37" s="13"/>
      <c r="C37" s="11" t="s">
        <v>267</v>
      </c>
      <c r="D37" s="11"/>
      <c r="E37" s="23" t="str">
        <f aca="false">IF(B37="","",MAX(0,B37-$B$6))</f>
        <v/>
      </c>
      <c r="F37" s="10" t="s">
        <v>174</v>
      </c>
    </row>
    <row r="38" customFormat="false" ht="15" hidden="false" customHeight="false" outlineLevel="0" collapsed="false">
      <c r="A38" s="25" t="n">
        <v>26</v>
      </c>
      <c r="B38" s="13"/>
      <c r="C38" s="11" t="s">
        <v>268</v>
      </c>
      <c r="D38" s="11"/>
      <c r="E38" s="23" t="str">
        <f aca="false">IF(B38="","",MAX(0,B38-$B$6))</f>
        <v/>
      </c>
      <c r="F38" s="10" t="s">
        <v>174</v>
      </c>
    </row>
    <row r="39" customFormat="false" ht="15" hidden="false" customHeight="false" outlineLevel="0" collapsed="false">
      <c r="A39" s="25" t="n">
        <v>27</v>
      </c>
      <c r="B39" s="13"/>
      <c r="C39" s="11" t="s">
        <v>269</v>
      </c>
      <c r="D39" s="11"/>
      <c r="E39" s="23" t="str">
        <f aca="false">IF(B39="","",MAX(0,B39-$B$6))</f>
        <v/>
      </c>
      <c r="F39" s="10" t="s">
        <v>174</v>
      </c>
    </row>
    <row r="40" customFormat="false" ht="15" hidden="false" customHeight="false" outlineLevel="0" collapsed="false">
      <c r="A40" s="25" t="n">
        <v>28</v>
      </c>
      <c r="B40" s="13"/>
      <c r="C40" s="11" t="s">
        <v>270</v>
      </c>
      <c r="D40" s="11"/>
      <c r="E40" s="23" t="str">
        <f aca="false">IF(B40="","",MAX(0,B40-$B$6))</f>
        <v/>
      </c>
      <c r="F40" s="10" t="s">
        <v>174</v>
      </c>
    </row>
    <row r="41" customFormat="false" ht="15" hidden="false" customHeight="false" outlineLevel="0" collapsed="false">
      <c r="A41" s="25" t="n">
        <v>29</v>
      </c>
      <c r="B41" s="13"/>
      <c r="C41" s="11" t="s">
        <v>271</v>
      </c>
      <c r="D41" s="11"/>
      <c r="E41" s="23" t="str">
        <f aca="false">IF(B41="","",MAX(0,B41-$B$6))</f>
        <v/>
      </c>
      <c r="F41" s="10" t="s">
        <v>174</v>
      </c>
    </row>
    <row r="42" customFormat="false" ht="15" hidden="false" customHeight="false" outlineLevel="0" collapsed="false">
      <c r="A42" s="25" t="n">
        <v>30</v>
      </c>
      <c r="B42" s="13"/>
      <c r="C42" s="11"/>
      <c r="D42" s="11" t="s">
        <v>272</v>
      </c>
      <c r="E42" s="23" t="str">
        <f aca="false">IF(B42="","",MAX(0,B42-$B$6))</f>
        <v/>
      </c>
      <c r="F42" s="10" t="s">
        <v>174</v>
      </c>
    </row>
    <row r="43" customFormat="false" ht="15" hidden="false" customHeight="false" outlineLevel="0" collapsed="false">
      <c r="A43" s="25" t="n">
        <v>31</v>
      </c>
      <c r="B43" s="13"/>
      <c r="C43" s="11"/>
      <c r="D43" s="11" t="s">
        <v>272</v>
      </c>
      <c r="E43" s="23" t="str">
        <f aca="false">IF(B43="","",MAX(0,B43-$B$6))</f>
        <v/>
      </c>
      <c r="F43" s="10" t="s">
        <v>174</v>
      </c>
    </row>
    <row r="44" customFormat="false" ht="15" hidden="false" customHeight="false" outlineLevel="0" collapsed="false">
      <c r="A44" s="25" t="n">
        <v>32</v>
      </c>
      <c r="B44" s="13"/>
      <c r="C44" s="11"/>
      <c r="D44" s="11" t="s">
        <v>272</v>
      </c>
      <c r="E44" s="23" t="str">
        <f aca="false">IF(B44="","",MAX(0,B44-$B$6))</f>
        <v/>
      </c>
      <c r="F44" s="10" t="s">
        <v>174</v>
      </c>
    </row>
    <row r="45" customFormat="false" ht="15" hidden="false" customHeight="false" outlineLevel="0" collapsed="false">
      <c r="A45" s="25" t="n">
        <v>33</v>
      </c>
      <c r="B45" s="13"/>
      <c r="C45" s="11"/>
      <c r="D45" s="11" t="s">
        <v>272</v>
      </c>
      <c r="E45" s="23" t="str">
        <f aca="false">IF(B45="","",MAX(0,B45-$B$6))</f>
        <v/>
      </c>
      <c r="F45" s="10" t="s">
        <v>174</v>
      </c>
    </row>
    <row r="46" customFormat="false" ht="15" hidden="false" customHeight="false" outlineLevel="0" collapsed="false">
      <c r="A46" s="25" t="n">
        <v>34</v>
      </c>
      <c r="B46" s="13"/>
      <c r="C46" s="11" t="s">
        <v>273</v>
      </c>
      <c r="D46" s="11"/>
      <c r="E46" s="23" t="str">
        <f aca="false">IF(B46="","",MAX(0,B46-$B$6))</f>
        <v/>
      </c>
      <c r="F46" s="10" t="s">
        <v>174</v>
      </c>
    </row>
    <row r="47" customFormat="false" ht="15" hidden="false" customHeight="false" outlineLevel="0" collapsed="false">
      <c r="A47" s="25" t="n">
        <v>35</v>
      </c>
      <c r="B47" s="13"/>
      <c r="C47" s="11" t="s">
        <v>274</v>
      </c>
      <c r="D47" s="11"/>
      <c r="E47" s="23" t="str">
        <f aca="false">IF(B47="","",MAX(0,B47-$B$6))</f>
        <v/>
      </c>
      <c r="F47" s="10" t="s">
        <v>174</v>
      </c>
    </row>
    <row r="48" customFormat="false" ht="15" hidden="false" customHeight="false" outlineLevel="0" collapsed="false">
      <c r="A48" s="25" t="n">
        <v>36</v>
      </c>
      <c r="B48" s="13"/>
      <c r="C48" s="11" t="s">
        <v>275</v>
      </c>
      <c r="D48" s="11"/>
      <c r="E48" s="23" t="str">
        <f aca="false">IF(B48="","",MAX(0,B48-$B$6))</f>
        <v/>
      </c>
      <c r="F48" s="10" t="s">
        <v>174</v>
      </c>
    </row>
    <row r="49" customFormat="false" ht="15" hidden="false" customHeight="false" outlineLevel="0" collapsed="false">
      <c r="A49" s="25" t="n">
        <v>37</v>
      </c>
      <c r="B49" s="13"/>
      <c r="C49" s="11" t="s">
        <v>276</v>
      </c>
      <c r="D49" s="11"/>
      <c r="E49" s="23" t="str">
        <f aca="false">IF(B49="","",MAX(0,B49-$B$6))</f>
        <v/>
      </c>
      <c r="F49" s="10" t="s">
        <v>174</v>
      </c>
    </row>
    <row r="50" customFormat="false" ht="15" hidden="false" customHeight="false" outlineLevel="0" collapsed="false">
      <c r="A50" s="25" t="n">
        <v>38</v>
      </c>
      <c r="B50" s="13" t="n">
        <v>435000000</v>
      </c>
      <c r="C50" s="11" t="s">
        <v>277</v>
      </c>
      <c r="D50" s="11"/>
      <c r="E50" s="23" t="n">
        <f aca="false">IF(B50="","",MAX(0,B50-$B$6))</f>
        <v>0</v>
      </c>
      <c r="F50" s="10" t="s">
        <v>174</v>
      </c>
    </row>
    <row r="51" customFormat="false" ht="15" hidden="false" customHeight="false" outlineLevel="0" collapsed="false">
      <c r="A51" s="25" t="n">
        <v>39</v>
      </c>
      <c r="B51" s="13" t="n">
        <v>450000000</v>
      </c>
      <c r="C51" s="11" t="s">
        <v>278</v>
      </c>
      <c r="D51" s="11"/>
      <c r="E51" s="23" t="n">
        <f aca="false">IF(B51="","",MAX(0,B51-$B$6))</f>
        <v>0</v>
      </c>
      <c r="F51" s="10" t="s">
        <v>174</v>
      </c>
    </row>
    <row r="52" customFormat="false" ht="15" hidden="false" customHeight="false" outlineLevel="0" collapsed="false">
      <c r="A52" s="25" t="n">
        <v>40</v>
      </c>
      <c r="B52" s="13" t="n">
        <v>480000000</v>
      </c>
      <c r="C52" s="11" t="s">
        <v>279</v>
      </c>
      <c r="D52" s="11"/>
      <c r="E52" s="23" t="n">
        <f aca="false">IF(B52="","",MAX(0,B52-$B$6))</f>
        <v>0</v>
      </c>
      <c r="F52" s="10" t="s">
        <v>174</v>
      </c>
    </row>
    <row r="53" customFormat="false" ht="15" hidden="false" customHeight="false" outlineLevel="0" collapsed="false">
      <c r="A53" s="25" t="n">
        <v>41</v>
      </c>
      <c r="B53" s="13" t="n">
        <v>510000000</v>
      </c>
      <c r="C53" s="11" t="s">
        <v>280</v>
      </c>
      <c r="D53" s="11" t="s">
        <v>281</v>
      </c>
      <c r="E53" s="23" t="n">
        <f aca="false">IF(B53="","",MAX(0,B53-$B$6))</f>
        <v>0</v>
      </c>
      <c r="F53" s="10" t="s">
        <v>174</v>
      </c>
    </row>
    <row r="54" customFormat="false" ht="15" hidden="false" customHeight="false" outlineLevel="0" collapsed="false">
      <c r="A54" s="25" t="n">
        <v>42</v>
      </c>
      <c r="B54" s="13" t="n">
        <v>540000000</v>
      </c>
      <c r="C54" s="11" t="s">
        <v>282</v>
      </c>
      <c r="D54" s="11"/>
      <c r="E54" s="23" t="n">
        <f aca="false">IF(B54="","",MAX(0,B54-$B$6))</f>
        <v>0</v>
      </c>
      <c r="F54" s="10" t="s">
        <v>174</v>
      </c>
    </row>
    <row r="55" customFormat="false" ht="15" hidden="false" customHeight="false" outlineLevel="0" collapsed="false">
      <c r="A55" s="25" t="n">
        <v>43</v>
      </c>
      <c r="B55" s="13" t="n">
        <v>570000000</v>
      </c>
      <c r="C55" s="11" t="s">
        <v>283</v>
      </c>
      <c r="D55" s="11"/>
      <c r="E55" s="23" t="n">
        <f aca="false">IF(B55="","",MAX(0,B55-$B$6))</f>
        <v>0</v>
      </c>
      <c r="F55" s="10" t="s">
        <v>174</v>
      </c>
    </row>
    <row r="56" customFormat="false" ht="15" hidden="false" customHeight="false" outlineLevel="0" collapsed="false">
      <c r="A56" s="25" t="n">
        <v>44</v>
      </c>
      <c r="B56" s="13" t="n">
        <v>600000000</v>
      </c>
      <c r="C56" s="11" t="s">
        <v>284</v>
      </c>
      <c r="D56" s="11"/>
      <c r="E56" s="23" t="n">
        <f aca="false">IF(B56="","",MAX(0,B56-$B$6))</f>
        <v>0</v>
      </c>
      <c r="F56" s="10" t="s">
        <v>174</v>
      </c>
    </row>
    <row r="57" customFormat="false" ht="15" hidden="false" customHeight="false" outlineLevel="0" collapsed="false">
      <c r="A57" s="25" t="n">
        <v>45</v>
      </c>
      <c r="B57" s="13" t="n">
        <v>630000000</v>
      </c>
      <c r="C57" s="11" t="s">
        <v>285</v>
      </c>
      <c r="D57" s="11"/>
      <c r="E57" s="23" t="n">
        <f aca="false">IF(B57="","",MAX(0,B57-$B$6))</f>
        <v>0</v>
      </c>
      <c r="F57" s="10" t="s">
        <v>174</v>
      </c>
    </row>
    <row r="58" customFormat="false" ht="15" hidden="false" customHeight="false" outlineLevel="0" collapsed="false">
      <c r="A58" s="25" t="n">
        <v>46</v>
      </c>
      <c r="B58" s="13" t="n">
        <v>660000000</v>
      </c>
      <c r="C58" s="11" t="s">
        <v>286</v>
      </c>
      <c r="D58" s="11"/>
      <c r="E58" s="23" t="n">
        <f aca="false">IF(B58="","",MAX(0,B58-$B$6))</f>
        <v>0</v>
      </c>
      <c r="F58" s="10" t="s">
        <v>174</v>
      </c>
    </row>
    <row r="59" customFormat="false" ht="15" hidden="false" customHeight="false" outlineLevel="0" collapsed="false">
      <c r="A59" s="25" t="n">
        <v>47</v>
      </c>
      <c r="B59" s="13" t="n">
        <v>690000000</v>
      </c>
      <c r="C59" s="11" t="s">
        <v>287</v>
      </c>
      <c r="D59" s="11"/>
      <c r="E59" s="23" t="n">
        <f aca="false">IF(B59="","",MAX(0,B59-$B$6))</f>
        <v>23197350</v>
      </c>
      <c r="F59" s="10" t="s">
        <v>177</v>
      </c>
    </row>
    <row r="60" customFormat="false" ht="15" hidden="false" customHeight="false" outlineLevel="0" collapsed="false">
      <c r="A60" s="25" t="n">
        <v>48</v>
      </c>
      <c r="B60" s="13" t="n">
        <v>750000000</v>
      </c>
      <c r="C60" s="11" t="s">
        <v>288</v>
      </c>
      <c r="D60" s="11"/>
      <c r="E60" s="23" t="n">
        <f aca="false">IF(B60="","",MAX(0,B60-$B$6))</f>
        <v>83197350</v>
      </c>
      <c r="F60" s="10" t="s">
        <v>177</v>
      </c>
    </row>
    <row r="61" customFormat="false" ht="15" hidden="false" customHeight="false" outlineLevel="0" collapsed="false">
      <c r="A61" s="25" t="n">
        <v>49</v>
      </c>
      <c r="B61" s="13" t="n">
        <v>825000000</v>
      </c>
      <c r="C61" s="11" t="s">
        <v>289</v>
      </c>
      <c r="D61" s="11"/>
      <c r="E61" s="23" t="n">
        <f aca="false">IF(B61="","",MAX(0,B61-$B$6))</f>
        <v>158197350</v>
      </c>
      <c r="F61" s="10" t="s">
        <v>177</v>
      </c>
    </row>
    <row r="62" customFormat="false" ht="15" hidden="false" customHeight="false" outlineLevel="0" collapsed="false">
      <c r="A62" s="25" t="n">
        <v>50</v>
      </c>
      <c r="B62" s="13" t="n">
        <v>900000000</v>
      </c>
      <c r="C62" s="11" t="s">
        <v>290</v>
      </c>
      <c r="D62" s="11"/>
      <c r="E62" s="23" t="n">
        <f aca="false">IF(B62="","",MAX(0,B62-$B$6))</f>
        <v>233197350</v>
      </c>
      <c r="F62" s="10" t="s">
        <v>177</v>
      </c>
    </row>
    <row r="63" customFormat="false" ht="15" hidden="false" customHeight="false" outlineLevel="0" collapsed="false">
      <c r="A63" s="25" t="n">
        <v>51</v>
      </c>
      <c r="B63" s="13" t="n">
        <v>975000000</v>
      </c>
      <c r="C63" s="11" t="s">
        <v>291</v>
      </c>
      <c r="D63" s="11"/>
      <c r="E63" s="23" t="n">
        <f aca="false">IF(B63="","",MAX(0,B63-$B$6))</f>
        <v>308197350</v>
      </c>
      <c r="F63" s="10" t="s">
        <v>177</v>
      </c>
    </row>
    <row r="64" customFormat="false" ht="15" hidden="false" customHeight="false" outlineLevel="0" collapsed="false">
      <c r="A64" s="25" t="n">
        <v>52</v>
      </c>
      <c r="B64" s="13" t="n">
        <v>1050000000</v>
      </c>
      <c r="C64" s="11" t="s">
        <v>292</v>
      </c>
      <c r="D64" s="11"/>
      <c r="E64" s="23" t="n">
        <f aca="false">IF(B64="","",MAX(0,B64-$B$6))</f>
        <v>383197350</v>
      </c>
      <c r="F64" s="10" t="s">
        <v>177</v>
      </c>
    </row>
    <row r="65" customFormat="false" ht="15" hidden="false" customHeight="false" outlineLevel="0" collapsed="false">
      <c r="A65" s="25" t="n">
        <v>53</v>
      </c>
      <c r="B65" s="13" t="n">
        <v>1125000000</v>
      </c>
      <c r="C65" s="11" t="s">
        <v>293</v>
      </c>
      <c r="D65" s="11"/>
      <c r="E65" s="23" t="n">
        <f aca="false">IF(B65="","",MAX(0,B65-$B$6))</f>
        <v>458197350</v>
      </c>
      <c r="F65" s="10" t="s">
        <v>177</v>
      </c>
    </row>
    <row r="66" customFormat="false" ht="15" hidden="false" customHeight="false" outlineLevel="0" collapsed="false">
      <c r="A66" s="25" t="n">
        <v>54</v>
      </c>
      <c r="B66" s="13" t="n">
        <v>1200000000</v>
      </c>
      <c r="C66" s="11" t="s">
        <v>294</v>
      </c>
      <c r="D66" s="11"/>
      <c r="E66" s="23" t="n">
        <f aca="false">IF(B66="","",MAX(0,B66-$B$6))</f>
        <v>533197350</v>
      </c>
      <c r="F66" s="10" t="s">
        <v>177</v>
      </c>
    </row>
    <row r="67" customFormat="false" ht="15" hidden="false" customHeight="false" outlineLevel="0" collapsed="false">
      <c r="A67" s="25" t="n">
        <v>55</v>
      </c>
      <c r="B67" s="13" t="n">
        <v>1350000000</v>
      </c>
      <c r="C67" s="11" t="s">
        <v>295</v>
      </c>
      <c r="D67" s="11"/>
      <c r="E67" s="23" t="n">
        <f aca="false">IF(B67="","",MAX(0,B67-$B$6))</f>
        <v>683197350</v>
      </c>
      <c r="F67" s="10" t="s">
        <v>177</v>
      </c>
    </row>
    <row r="68" customFormat="false" ht="15" hidden="false" customHeight="false" outlineLevel="0" collapsed="false">
      <c r="A68" s="25" t="n">
        <v>56</v>
      </c>
      <c r="B68" s="13" t="n">
        <v>1500000000</v>
      </c>
      <c r="C68" s="11" t="s">
        <v>296</v>
      </c>
      <c r="D68" s="11"/>
      <c r="E68" s="23" t="n">
        <f aca="false">IF(B68="","",MAX(0,B68-$B$6))</f>
        <v>833197350</v>
      </c>
      <c r="F68" s="10" t="s">
        <v>177</v>
      </c>
    </row>
    <row r="69" customFormat="false" ht="15" hidden="false" customHeight="false" outlineLevel="0" collapsed="false">
      <c r="A69" s="25" t="n">
        <v>57</v>
      </c>
      <c r="B69" s="13" t="n">
        <v>1650000000</v>
      </c>
      <c r="C69" s="11" t="s">
        <v>297</v>
      </c>
      <c r="D69" s="11"/>
      <c r="E69" s="23" t="n">
        <f aca="false">IF(B69="","",MAX(0,B69-$B$6))</f>
        <v>983197350</v>
      </c>
      <c r="F69" s="10" t="s">
        <v>177</v>
      </c>
    </row>
    <row r="70" customFormat="false" ht="15" hidden="false" customHeight="false" outlineLevel="0" collapsed="false">
      <c r="A70" s="25" t="n">
        <v>58</v>
      </c>
      <c r="B70" s="13" t="n">
        <v>1875000000</v>
      </c>
      <c r="C70" s="11" t="s">
        <v>298</v>
      </c>
      <c r="D70" s="11"/>
      <c r="E70" s="23" t="n">
        <f aca="false">IF(B70="","",MAX(0,B70-$B$6))</f>
        <v>1208197350</v>
      </c>
      <c r="F70" s="10" t="s">
        <v>177</v>
      </c>
    </row>
    <row r="71" customFormat="false" ht="15" hidden="false" customHeight="false" outlineLevel="0" collapsed="false">
      <c r="A71" s="25" t="n">
        <v>59</v>
      </c>
      <c r="B71" s="13" t="n">
        <v>2250000000</v>
      </c>
      <c r="C71" s="11" t="s">
        <v>299</v>
      </c>
      <c r="D71" s="11"/>
      <c r="E71" s="23" t="n">
        <f aca="false">IF(B71="","",MAX(0,B71-$B$6))</f>
        <v>1583197350</v>
      </c>
      <c r="F71" s="10" t="s">
        <v>177</v>
      </c>
    </row>
    <row r="72" customFormat="false" ht="15" hidden="false" customHeight="false" outlineLevel="0" collapsed="false">
      <c r="A72" s="25" t="n">
        <v>60</v>
      </c>
      <c r="B72" s="13" t="n">
        <v>2625000000</v>
      </c>
      <c r="C72" s="11" t="s">
        <v>300</v>
      </c>
      <c r="D72" s="11"/>
      <c r="E72" s="23" t="n">
        <f aca="false">IF(B72="","",MAX(0,B72-$B$6))</f>
        <v>1958197350</v>
      </c>
      <c r="F72" s="10" t="s">
        <v>177</v>
      </c>
    </row>
    <row r="73" customFormat="false" ht="15" hidden="false" customHeight="false" outlineLevel="0" collapsed="false">
      <c r="A73" s="25" t="n">
        <v>61</v>
      </c>
      <c r="B73" s="13" t="n">
        <v>3000000000</v>
      </c>
      <c r="C73" s="11" t="s">
        <v>301</v>
      </c>
      <c r="D73" s="11"/>
      <c r="E73" s="23" t="n">
        <f aca="false">IF(B73="","",MAX(0,B73-$B$6))</f>
        <v>2333197350</v>
      </c>
      <c r="F73" s="10" t="s">
        <v>177</v>
      </c>
    </row>
    <row r="74" customFormat="false" ht="15" hidden="false" customHeight="false" outlineLevel="0" collapsed="false">
      <c r="A74" s="25" t="n">
        <v>62</v>
      </c>
      <c r="B74" s="13" t="n">
        <v>3375000000</v>
      </c>
      <c r="C74" s="11" t="s">
        <v>302</v>
      </c>
      <c r="D74" s="11"/>
      <c r="E74" s="23" t="n">
        <f aca="false">IF(B74="","",MAX(0,B74-$B$6))</f>
        <v>2708197350</v>
      </c>
      <c r="F74" s="10" t="s">
        <v>177</v>
      </c>
    </row>
    <row r="75" customFormat="false" ht="15" hidden="false" customHeight="false" outlineLevel="0" collapsed="false">
      <c r="A75" s="25" t="n">
        <v>63</v>
      </c>
      <c r="B75" s="13" t="n">
        <v>3750000000</v>
      </c>
      <c r="C75" s="11" t="s">
        <v>303</v>
      </c>
      <c r="D75" s="11"/>
      <c r="E75" s="23" t="n">
        <f aca="false">IF(B75="","",MAX(0,B75-$B$6))</f>
        <v>3083197350</v>
      </c>
      <c r="F75" s="10" t="s">
        <v>177</v>
      </c>
    </row>
    <row r="76" customFormat="false" ht="15" hidden="false" customHeight="false" outlineLevel="0" collapsed="false">
      <c r="A76" s="25" t="n">
        <v>64</v>
      </c>
      <c r="B76" s="13" t="n">
        <v>4125000000</v>
      </c>
      <c r="C76" s="11" t="s">
        <v>304</v>
      </c>
      <c r="D76" s="11"/>
      <c r="E76" s="23" t="n">
        <f aca="false">IF(B76="","",MAX(0,B76-$B$6))</f>
        <v>3458197350</v>
      </c>
      <c r="F76" s="10" t="s">
        <v>177</v>
      </c>
    </row>
    <row r="77" customFormat="false" ht="15" hidden="false" customHeight="false" outlineLevel="0" collapsed="false">
      <c r="A77" s="15"/>
    </row>
  </sheetData>
  <conditionalFormatting sqref="F13:F76">
    <cfRule type="cellIs" priority="2" operator="equal" aboveAverage="0" equalAverage="0" bottom="0" percent="0" rank="0" text="" dxfId="8">
      <formula>"Claimed"</formula>
    </cfRule>
    <cfRule type="expression" priority="3" aboveAverage="0" equalAverage="0" bottom="0" percent="0" rank="0" text="" dxfId="9">
      <formula>AND($B13&lt;&gt;"",$B13&lt;=$B$6,$F13&lt;&gt;"Claimed")</formula>
    </cfRule>
  </conditionalFormatting>
  <dataValidations count="1">
    <dataValidation allowBlank="false" errorStyle="stop" operator="between" showDropDown="false" showErrorMessage="false" showInputMessage="false" sqref="F13:F76" type="list">
      <formula1>"Claimed,Not claimed"</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5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6"/>
    <col collapsed="false" customWidth="true" hidden="false" outlineLevel="0" max="2" min="2" style="0" width="62"/>
    <col collapsed="false" customWidth="true" hidden="false" outlineLevel="0" max="3" min="3" style="0" width="14"/>
    <col collapsed="false" customWidth="true" hidden="false" outlineLevel="0" max="4" min="4" style="0" width="15"/>
    <col collapsed="false" customWidth="true" hidden="false" outlineLevel="0" max="6" min="5" style="0" width="14"/>
    <col collapsed="false" customWidth="true" hidden="false" outlineLevel="0" max="7" min="7" style="0" width="13"/>
    <col collapsed="false" customWidth="true" hidden="false" outlineLevel="0" max="8" min="8" style="0" width="12"/>
    <col collapsed="false" customWidth="true" hidden="false" outlineLevel="0" max="9" min="9" style="0" width="11"/>
    <col collapsed="false" customWidth="true" hidden="false" outlineLevel="0" max="10" min="10" style="0" width="8"/>
  </cols>
  <sheetData>
    <row r="1" customFormat="false" ht="17.35" hidden="false" customHeight="false" outlineLevel="0" collapsed="false">
      <c r="A1" s="1" t="s">
        <v>305</v>
      </c>
    </row>
    <row r="2" customFormat="false" ht="15" hidden="false" customHeight="false" outlineLevel="0" collapsed="false">
      <c r="A2" s="2" t="s">
        <v>306</v>
      </c>
    </row>
    <row r="4" customFormat="false" ht="15" hidden="false" customHeight="false" outlineLevel="0" collapsed="false">
      <c r="A4" s="20" t="s">
        <v>307</v>
      </c>
      <c r="B4" s="20" t="s">
        <v>308</v>
      </c>
      <c r="C4" s="20" t="s">
        <v>309</v>
      </c>
      <c r="D4" s="20" t="s">
        <v>310</v>
      </c>
      <c r="E4" s="20" t="s">
        <v>311</v>
      </c>
      <c r="F4" s="20" t="s">
        <v>312</v>
      </c>
      <c r="G4" s="20" t="s">
        <v>313</v>
      </c>
      <c r="H4" s="20" t="s">
        <v>314</v>
      </c>
      <c r="I4" s="20" t="s">
        <v>315</v>
      </c>
      <c r="J4" s="20" t="s">
        <v>316</v>
      </c>
    </row>
    <row r="5" customFormat="false" ht="15" hidden="false" customHeight="false" outlineLevel="0" collapsed="false">
      <c r="A5" s="11" t="s">
        <v>317</v>
      </c>
      <c r="B5" s="11" t="s">
        <v>318</v>
      </c>
      <c r="C5" s="13" t="n">
        <v>4000000</v>
      </c>
      <c r="D5" s="13" t="n">
        <v>40000000</v>
      </c>
      <c r="E5" s="24" t="n">
        <v>16000000</v>
      </c>
      <c r="F5" s="21" t="n">
        <f aca="false">IF(ISNUMBER(D5),MAX(0,D5-E5),0)</f>
        <v>24000000</v>
      </c>
      <c r="G5" s="21" t="n">
        <f aca="false">IF(ISNUMBER(D5),ROUNDUP(D5/C5,0),"No limit")</f>
        <v>10</v>
      </c>
      <c r="H5" s="21" t="n">
        <f aca="false">IFERROR(INT(E5/C5),0)</f>
        <v>4</v>
      </c>
      <c r="I5" s="21" t="n">
        <f aca="false">IFERROR(ROUNDUP(F5/C5,0),0)</f>
        <v>6</v>
      </c>
      <c r="J5" s="10" t="s">
        <v>319</v>
      </c>
    </row>
    <row r="6" customFormat="false" ht="15" hidden="false" customHeight="false" outlineLevel="0" collapsed="false">
      <c r="A6" s="11" t="s">
        <v>317</v>
      </c>
      <c r="B6" s="11" t="s">
        <v>320</v>
      </c>
      <c r="C6" s="13" t="n">
        <v>4000000</v>
      </c>
      <c r="D6" s="13" t="n">
        <v>40000000</v>
      </c>
      <c r="E6" s="24" t="n">
        <v>12000000</v>
      </c>
      <c r="F6" s="21" t="n">
        <f aca="false">IF(ISNUMBER(D6),MAX(0,D6-E6),0)</f>
        <v>28000000</v>
      </c>
      <c r="G6" s="21" t="n">
        <f aca="false">IF(ISNUMBER(D6),ROUNDUP(D6/C6,0),"No limit")</f>
        <v>10</v>
      </c>
      <c r="H6" s="21" t="n">
        <f aca="false">IFERROR(INT(E6/C6),0)</f>
        <v>3</v>
      </c>
      <c r="I6" s="21" t="n">
        <f aca="false">IFERROR(ROUNDUP(F6/C6,0),0)</f>
        <v>7</v>
      </c>
      <c r="J6" s="10" t="s">
        <v>319</v>
      </c>
    </row>
    <row r="7" customFormat="false" ht="15" hidden="false" customHeight="false" outlineLevel="0" collapsed="false">
      <c r="A7" s="11" t="s">
        <v>321</v>
      </c>
      <c r="B7" s="11" t="s">
        <v>322</v>
      </c>
      <c r="C7" s="13" t="n">
        <v>1</v>
      </c>
      <c r="D7" s="13" t="n">
        <v>1000000000</v>
      </c>
      <c r="E7" s="24" t="n">
        <v>52952650</v>
      </c>
      <c r="F7" s="21" t="n">
        <f aca="false">IF(ISNUMBER(D7),MAX(0,D7-E7),0)</f>
        <v>947047350</v>
      </c>
      <c r="G7" s="21" t="n">
        <f aca="false">IF(ISNUMBER(D7),ROUNDUP(D7/C7,0),"No limit")</f>
        <v>1000000000</v>
      </c>
      <c r="H7" s="21" t="n">
        <f aca="false">IFERROR(INT(E7/C7),0)</f>
        <v>52952650</v>
      </c>
      <c r="I7" s="21" t="n">
        <f aca="false">IFERROR(ROUNDUP(F7/C7,0),0)</f>
        <v>947047350</v>
      </c>
      <c r="J7" s="10" t="s">
        <v>323</v>
      </c>
    </row>
    <row r="8" customFormat="false" ht="15" hidden="false" customHeight="false" outlineLevel="0" collapsed="false">
      <c r="A8" s="11" t="s">
        <v>321</v>
      </c>
      <c r="B8" s="11" t="s">
        <v>324</v>
      </c>
      <c r="C8" s="13" t="n">
        <v>4000</v>
      </c>
      <c r="D8" s="13" t="n">
        <v>1000000000</v>
      </c>
      <c r="E8" s="24" t="n">
        <v>34600000</v>
      </c>
      <c r="F8" s="21" t="n">
        <f aca="false">IF(ISNUMBER(D8),MAX(0,D8-E8),0)</f>
        <v>965400000</v>
      </c>
      <c r="G8" s="21" t="n">
        <f aca="false">IF(ISNUMBER(D8),ROUNDUP(D8/C8,0),"No limit")</f>
        <v>250000</v>
      </c>
      <c r="H8" s="21" t="n">
        <f aca="false">IFERROR(INT(E8/C8),0)</f>
        <v>8650</v>
      </c>
      <c r="I8" s="21" t="n">
        <f aca="false">IFERROR(ROUNDUP(F8/C8,0),0)</f>
        <v>241350</v>
      </c>
      <c r="J8" s="10" t="s">
        <v>323</v>
      </c>
    </row>
    <row r="9" customFormat="false" ht="15" hidden="false" customHeight="false" outlineLevel="0" collapsed="false">
      <c r="A9" s="11" t="s">
        <v>5</v>
      </c>
      <c r="B9" s="11" t="s">
        <v>325</v>
      </c>
      <c r="C9" s="13" t="n">
        <v>3000000</v>
      </c>
      <c r="D9" s="13" t="n">
        <v>15000000</v>
      </c>
      <c r="E9" s="24" t="n">
        <v>9000000</v>
      </c>
      <c r="F9" s="21" t="n">
        <f aca="false">IF(ISNUMBER(D9),MAX(0,D9-E9),0)</f>
        <v>6000000</v>
      </c>
      <c r="G9" s="21" t="n">
        <f aca="false">IF(ISNUMBER(D9),ROUNDUP(D9/C9,0),"No limit")</f>
        <v>5</v>
      </c>
      <c r="H9" s="21" t="n">
        <f aca="false">IFERROR(INT(E9/C9),0)</f>
        <v>3</v>
      </c>
      <c r="I9" s="21" t="n">
        <f aca="false">IFERROR(ROUNDUP(F9/C9,0),0)</f>
        <v>2</v>
      </c>
      <c r="J9" s="10" t="s">
        <v>319</v>
      </c>
    </row>
    <row r="10" customFormat="false" ht="15" hidden="false" customHeight="false" outlineLevel="0" collapsed="false">
      <c r="A10" s="11" t="s">
        <v>5</v>
      </c>
      <c r="B10" s="11" t="s">
        <v>326</v>
      </c>
      <c r="C10" s="13" t="n">
        <v>8000000</v>
      </c>
      <c r="D10" s="13" t="n">
        <v>40000000</v>
      </c>
      <c r="E10" s="24" t="n">
        <v>0</v>
      </c>
      <c r="F10" s="21" t="n">
        <f aca="false">IF(ISNUMBER(D10),MAX(0,D10-E10),0)</f>
        <v>40000000</v>
      </c>
      <c r="G10" s="21" t="n">
        <f aca="false">IF(ISNUMBER(D10),ROUNDUP(D10/C10,0),"No limit")</f>
        <v>5</v>
      </c>
      <c r="H10" s="21" t="n">
        <f aca="false">IFERROR(INT(E10/C10),0)</f>
        <v>0</v>
      </c>
      <c r="I10" s="21" t="n">
        <f aca="false">IFERROR(ROUNDUP(F10/C10,0),0)</f>
        <v>5</v>
      </c>
      <c r="J10" s="10" t="s">
        <v>319</v>
      </c>
    </row>
    <row r="11" customFormat="false" ht="15" hidden="false" customHeight="false" outlineLevel="0" collapsed="false">
      <c r="A11" s="11" t="s">
        <v>327</v>
      </c>
      <c r="B11" s="11" t="s">
        <v>328</v>
      </c>
      <c r="C11" s="13" t="n">
        <v>7000000</v>
      </c>
      <c r="D11" s="13" t="n">
        <v>35000000</v>
      </c>
      <c r="E11" s="24" t="n">
        <v>35000000</v>
      </c>
      <c r="F11" s="21" t="n">
        <f aca="false">IF(ISNUMBER(D11),MAX(0,D11-E11),0)</f>
        <v>0</v>
      </c>
      <c r="G11" s="21" t="n">
        <f aca="false">IF(ISNUMBER(D11),ROUNDUP(D11/C11,0),"No limit")</f>
        <v>5</v>
      </c>
      <c r="H11" s="21" t="n">
        <f aca="false">IFERROR(INT(E11/C11),0)</f>
        <v>5</v>
      </c>
      <c r="I11" s="21" t="n">
        <f aca="false">IFERROR(ROUNDUP(F11/C11,0),0)</f>
        <v>0</v>
      </c>
      <c r="J11" s="10" t="s">
        <v>319</v>
      </c>
    </row>
    <row r="12" customFormat="false" ht="15" hidden="false" customHeight="false" outlineLevel="0" collapsed="false">
      <c r="A12" s="11" t="s">
        <v>327</v>
      </c>
      <c r="B12" s="11" t="s">
        <v>329</v>
      </c>
      <c r="C12" s="13" t="n">
        <v>17000000</v>
      </c>
      <c r="D12" s="13" t="n">
        <v>85000000</v>
      </c>
      <c r="E12" s="24" t="n">
        <v>85000000</v>
      </c>
      <c r="F12" s="21" t="n">
        <f aca="false">IF(ISNUMBER(D12),MAX(0,D12-E12),0)</f>
        <v>0</v>
      </c>
      <c r="G12" s="21" t="n">
        <f aca="false">IF(ISNUMBER(D12),ROUNDUP(D12/C12,0),"No limit")</f>
        <v>5</v>
      </c>
      <c r="H12" s="21" t="n">
        <f aca="false">IFERROR(INT(E12/C12),0)</f>
        <v>5</v>
      </c>
      <c r="I12" s="21" t="n">
        <f aca="false">IFERROR(ROUNDUP(F12/C12,0),0)</f>
        <v>0</v>
      </c>
      <c r="J12" s="10" t="s">
        <v>319</v>
      </c>
    </row>
    <row r="13" customFormat="false" ht="15" hidden="false" customHeight="false" outlineLevel="0" collapsed="false">
      <c r="A13" s="11" t="s">
        <v>327</v>
      </c>
      <c r="B13" s="11" t="s">
        <v>330</v>
      </c>
      <c r="C13" s="13" t="n">
        <v>7000000</v>
      </c>
      <c r="D13" s="13" t="n">
        <v>35000000</v>
      </c>
      <c r="E13" s="24" t="n">
        <v>35000000</v>
      </c>
      <c r="F13" s="21" t="n">
        <f aca="false">IF(ISNUMBER(D13),MAX(0,D13-E13),0)</f>
        <v>0</v>
      </c>
      <c r="G13" s="21" t="n">
        <f aca="false">IF(ISNUMBER(D13),ROUNDUP(D13/C13,0),"No limit")</f>
        <v>5</v>
      </c>
      <c r="H13" s="21" t="n">
        <f aca="false">IFERROR(INT(E13/C13),0)</f>
        <v>5</v>
      </c>
      <c r="I13" s="21" t="n">
        <f aca="false">IFERROR(ROUNDUP(F13/C13,0),0)</f>
        <v>0</v>
      </c>
      <c r="J13" s="10" t="s">
        <v>319</v>
      </c>
    </row>
    <row r="14" customFormat="false" ht="15" hidden="false" customHeight="false" outlineLevel="0" collapsed="false">
      <c r="A14" s="11" t="s">
        <v>327</v>
      </c>
      <c r="B14" s="11" t="s">
        <v>331</v>
      </c>
      <c r="C14" s="13" t="n">
        <v>17000000</v>
      </c>
      <c r="D14" s="13" t="n">
        <v>85000000</v>
      </c>
      <c r="E14" s="24" t="n">
        <v>0</v>
      </c>
      <c r="F14" s="21" t="n">
        <f aca="false">IF(ISNUMBER(D14),MAX(0,D14-E14),0)</f>
        <v>85000000</v>
      </c>
      <c r="G14" s="21" t="n">
        <f aca="false">IF(ISNUMBER(D14),ROUNDUP(D14/C14,0),"No limit")</f>
        <v>5</v>
      </c>
      <c r="H14" s="21" t="n">
        <f aca="false">IFERROR(INT(E14/C14),0)</f>
        <v>0</v>
      </c>
      <c r="I14" s="21" t="n">
        <f aca="false">IFERROR(ROUNDUP(F14/C14,0),0)</f>
        <v>5</v>
      </c>
      <c r="J14" s="10" t="s">
        <v>319</v>
      </c>
    </row>
    <row r="15" customFormat="false" ht="15" hidden="false" customHeight="false" outlineLevel="0" collapsed="false">
      <c r="A15" s="11" t="s">
        <v>327</v>
      </c>
      <c r="B15" s="11" t="s">
        <v>332</v>
      </c>
      <c r="C15" s="13" t="n">
        <v>7000000</v>
      </c>
      <c r="D15" s="13" t="n">
        <v>35000000</v>
      </c>
      <c r="E15" s="24" t="n">
        <v>35000000</v>
      </c>
      <c r="F15" s="21" t="n">
        <f aca="false">IF(ISNUMBER(D15),MAX(0,D15-E15),0)</f>
        <v>0</v>
      </c>
      <c r="G15" s="21" t="n">
        <f aca="false">IF(ISNUMBER(D15),ROUNDUP(D15/C15,0),"No limit")</f>
        <v>5</v>
      </c>
      <c r="H15" s="21" t="n">
        <f aca="false">IFERROR(INT(E15/C15),0)</f>
        <v>5</v>
      </c>
      <c r="I15" s="21" t="n">
        <f aca="false">IFERROR(ROUNDUP(F15/C15,0),0)</f>
        <v>0</v>
      </c>
      <c r="J15" s="10" t="s">
        <v>319</v>
      </c>
    </row>
    <row r="16" customFormat="false" ht="15" hidden="false" customHeight="false" outlineLevel="0" collapsed="false">
      <c r="A16" s="11" t="s">
        <v>327</v>
      </c>
      <c r="B16" s="11" t="s">
        <v>333</v>
      </c>
      <c r="C16" s="13" t="n">
        <v>17000000</v>
      </c>
      <c r="D16" s="13" t="n">
        <v>85000000</v>
      </c>
      <c r="E16" s="24" t="n">
        <v>0</v>
      </c>
      <c r="F16" s="21" t="n">
        <f aca="false">IF(ISNUMBER(D16),MAX(0,D16-E16),0)</f>
        <v>85000000</v>
      </c>
      <c r="G16" s="21" t="n">
        <f aca="false">IF(ISNUMBER(D16),ROUNDUP(D16/C16,0),"No limit")</f>
        <v>5</v>
      </c>
      <c r="H16" s="21" t="n">
        <f aca="false">IFERROR(INT(E16/C16),0)</f>
        <v>0</v>
      </c>
      <c r="I16" s="21" t="n">
        <f aca="false">IFERROR(ROUNDUP(F16/C16,0),0)</f>
        <v>5</v>
      </c>
      <c r="J16" s="10" t="s">
        <v>319</v>
      </c>
    </row>
    <row r="17" customFormat="false" ht="15" hidden="false" customHeight="false" outlineLevel="0" collapsed="false">
      <c r="A17" s="11" t="s">
        <v>327</v>
      </c>
      <c r="B17" s="11" t="s">
        <v>334</v>
      </c>
      <c r="C17" s="13" t="n">
        <v>3000000</v>
      </c>
      <c r="D17" s="13" t="n">
        <v>15000000</v>
      </c>
      <c r="E17" s="24" t="n">
        <v>15000000</v>
      </c>
      <c r="F17" s="21" t="n">
        <f aca="false">IF(ISNUMBER(D17),MAX(0,D17-E17),0)</f>
        <v>0</v>
      </c>
      <c r="G17" s="21" t="n">
        <f aca="false">IF(ISNUMBER(D17),ROUNDUP(D17/C17,0),"No limit")</f>
        <v>5</v>
      </c>
      <c r="H17" s="21" t="n">
        <f aca="false">IFERROR(INT(E17/C17),0)</f>
        <v>5</v>
      </c>
      <c r="I17" s="21" t="n">
        <f aca="false">IFERROR(ROUNDUP(F17/C17,0),0)</f>
        <v>0</v>
      </c>
      <c r="J17" s="10" t="s">
        <v>319</v>
      </c>
    </row>
    <row r="18" customFormat="false" ht="15" hidden="false" customHeight="false" outlineLevel="0" collapsed="false">
      <c r="A18" s="11" t="s">
        <v>327</v>
      </c>
      <c r="B18" s="11" t="s">
        <v>335</v>
      </c>
      <c r="C18" s="13" t="n">
        <v>8000000</v>
      </c>
      <c r="D18" s="13" t="n">
        <v>40000000</v>
      </c>
      <c r="E18" s="24" t="n">
        <v>40000000</v>
      </c>
      <c r="F18" s="21" t="n">
        <f aca="false">IF(ISNUMBER(D18),MAX(0,D18-E18),0)</f>
        <v>0</v>
      </c>
      <c r="G18" s="21" t="n">
        <f aca="false">IF(ISNUMBER(D18),ROUNDUP(D18/C18,0),"No limit")</f>
        <v>5</v>
      </c>
      <c r="H18" s="21" t="n">
        <f aca="false">IFERROR(INT(E18/C18),0)</f>
        <v>5</v>
      </c>
      <c r="I18" s="21" t="n">
        <f aca="false">IFERROR(ROUNDUP(F18/C18,0),0)</f>
        <v>0</v>
      </c>
      <c r="J18" s="10" t="s">
        <v>319</v>
      </c>
    </row>
    <row r="19" customFormat="false" ht="15" hidden="false" customHeight="false" outlineLevel="0" collapsed="false">
      <c r="A19" s="11" t="s">
        <v>327</v>
      </c>
      <c r="B19" s="11" t="s">
        <v>336</v>
      </c>
      <c r="C19" s="13" t="n">
        <v>3000000</v>
      </c>
      <c r="D19" s="13" t="n">
        <v>15000000</v>
      </c>
      <c r="E19" s="24" t="n">
        <v>15000000</v>
      </c>
      <c r="F19" s="21" t="n">
        <f aca="false">IF(ISNUMBER(D19),MAX(0,D19-E19),0)</f>
        <v>0</v>
      </c>
      <c r="G19" s="21" t="n">
        <f aca="false">IF(ISNUMBER(D19),ROUNDUP(D19/C19,0),"No limit")</f>
        <v>5</v>
      </c>
      <c r="H19" s="21" t="n">
        <f aca="false">IFERROR(INT(E19/C19),0)</f>
        <v>5</v>
      </c>
      <c r="I19" s="21" t="n">
        <f aca="false">IFERROR(ROUNDUP(F19/C19,0),0)</f>
        <v>0</v>
      </c>
      <c r="J19" s="10" t="s">
        <v>319</v>
      </c>
    </row>
    <row r="20" customFormat="false" ht="15" hidden="false" customHeight="false" outlineLevel="0" collapsed="false">
      <c r="A20" s="11" t="s">
        <v>327</v>
      </c>
      <c r="B20" s="11" t="s">
        <v>337</v>
      </c>
      <c r="C20" s="13" t="n">
        <v>8000000</v>
      </c>
      <c r="D20" s="13" t="n">
        <v>40000000</v>
      </c>
      <c r="E20" s="24" t="n">
        <v>40000000</v>
      </c>
      <c r="F20" s="21" t="n">
        <f aca="false">IF(ISNUMBER(D20),MAX(0,D20-E20),0)</f>
        <v>0</v>
      </c>
      <c r="G20" s="21" t="n">
        <f aca="false">IF(ISNUMBER(D20),ROUNDUP(D20/C20,0),"No limit")</f>
        <v>5</v>
      </c>
      <c r="H20" s="21" t="n">
        <f aca="false">IFERROR(INT(E20/C20),0)</f>
        <v>5</v>
      </c>
      <c r="I20" s="21" t="n">
        <f aca="false">IFERROR(ROUNDUP(F20/C20,0),0)</f>
        <v>0</v>
      </c>
      <c r="J20" s="10" t="s">
        <v>319</v>
      </c>
    </row>
    <row r="21" customFormat="false" ht="15" hidden="false" customHeight="false" outlineLevel="0" collapsed="false">
      <c r="A21" s="11" t="s">
        <v>327</v>
      </c>
      <c r="B21" s="11" t="s">
        <v>338</v>
      </c>
      <c r="C21" s="13" t="n">
        <v>3000000</v>
      </c>
      <c r="D21" s="13" t="n">
        <v>15000000</v>
      </c>
      <c r="E21" s="24" t="n">
        <v>12000000</v>
      </c>
      <c r="F21" s="21" t="n">
        <f aca="false">IF(ISNUMBER(D21),MAX(0,D21-E21),0)</f>
        <v>3000000</v>
      </c>
      <c r="G21" s="21" t="n">
        <f aca="false">IF(ISNUMBER(D21),ROUNDUP(D21/C21,0),"No limit")</f>
        <v>5</v>
      </c>
      <c r="H21" s="21" t="n">
        <f aca="false">IFERROR(INT(E21/C21),0)</f>
        <v>4</v>
      </c>
      <c r="I21" s="21" t="n">
        <f aca="false">IFERROR(ROUNDUP(F21/C21,0),0)</f>
        <v>1</v>
      </c>
      <c r="J21" s="10" t="s">
        <v>319</v>
      </c>
    </row>
    <row r="22" customFormat="false" ht="15" hidden="false" customHeight="false" outlineLevel="0" collapsed="false">
      <c r="A22" s="11" t="s">
        <v>327</v>
      </c>
      <c r="B22" s="11" t="s">
        <v>339</v>
      </c>
      <c r="C22" s="13" t="n">
        <v>8000000</v>
      </c>
      <c r="D22" s="13" t="n">
        <v>40000000</v>
      </c>
      <c r="E22" s="24" t="n">
        <v>32000000</v>
      </c>
      <c r="F22" s="21" t="n">
        <f aca="false">IF(ISNUMBER(D22),MAX(0,D22-E22),0)</f>
        <v>8000000</v>
      </c>
      <c r="G22" s="21" t="n">
        <f aca="false">IF(ISNUMBER(D22),ROUNDUP(D22/C22,0),"No limit")</f>
        <v>5</v>
      </c>
      <c r="H22" s="21" t="n">
        <f aca="false">IFERROR(INT(E22/C22),0)</f>
        <v>4</v>
      </c>
      <c r="I22" s="21" t="n">
        <f aca="false">IFERROR(ROUNDUP(F22/C22,0),0)</f>
        <v>1</v>
      </c>
      <c r="J22" s="10" t="s">
        <v>319</v>
      </c>
    </row>
    <row r="23" customFormat="false" ht="15" hidden="false" customHeight="false" outlineLevel="0" collapsed="false">
      <c r="A23" s="11" t="s">
        <v>327</v>
      </c>
      <c r="B23" s="11" t="s">
        <v>340</v>
      </c>
      <c r="C23" s="13" t="n">
        <v>3000000</v>
      </c>
      <c r="D23" s="13" t="n">
        <v>15000000</v>
      </c>
      <c r="E23" s="24" t="n">
        <v>12000000</v>
      </c>
      <c r="F23" s="21" t="n">
        <f aca="false">IF(ISNUMBER(D23),MAX(0,D23-E23),0)</f>
        <v>3000000</v>
      </c>
      <c r="G23" s="21" t="n">
        <f aca="false">IF(ISNUMBER(D23),ROUNDUP(D23/C23,0),"No limit")</f>
        <v>5</v>
      </c>
      <c r="H23" s="21" t="n">
        <f aca="false">IFERROR(INT(E23/C23),0)</f>
        <v>4</v>
      </c>
      <c r="I23" s="21" t="n">
        <f aca="false">IFERROR(ROUNDUP(F23/C23,0),0)</f>
        <v>1</v>
      </c>
      <c r="J23" s="10" t="s">
        <v>319</v>
      </c>
    </row>
    <row r="24" customFormat="false" ht="15" hidden="false" customHeight="false" outlineLevel="0" collapsed="false">
      <c r="A24" s="11" t="s">
        <v>327</v>
      </c>
      <c r="B24" s="11" t="s">
        <v>341</v>
      </c>
      <c r="C24" s="13" t="n">
        <v>8000000</v>
      </c>
      <c r="D24" s="13" t="n">
        <v>40000000</v>
      </c>
      <c r="E24" s="24" t="n">
        <v>24000000</v>
      </c>
      <c r="F24" s="21" t="n">
        <f aca="false">IF(ISNUMBER(D24),MAX(0,D24-E24),0)</f>
        <v>16000000</v>
      </c>
      <c r="G24" s="21" t="n">
        <f aca="false">IF(ISNUMBER(D24),ROUNDUP(D24/C24,0),"No limit")</f>
        <v>5</v>
      </c>
      <c r="H24" s="21" t="n">
        <f aca="false">IFERROR(INT(E24/C24),0)</f>
        <v>3</v>
      </c>
      <c r="I24" s="21" t="n">
        <f aca="false">IFERROR(ROUNDUP(F24/C24,0),0)</f>
        <v>2</v>
      </c>
      <c r="J24" s="10" t="s">
        <v>319</v>
      </c>
    </row>
    <row r="25" customFormat="false" ht="15" hidden="false" customHeight="false" outlineLevel="0" collapsed="false">
      <c r="A25" s="11" t="s">
        <v>327</v>
      </c>
      <c r="B25" s="11" t="s">
        <v>342</v>
      </c>
      <c r="C25" s="13" t="n">
        <v>8000000</v>
      </c>
      <c r="D25" s="13" t="n">
        <v>40000000</v>
      </c>
      <c r="E25" s="24" t="n">
        <v>32000000</v>
      </c>
      <c r="F25" s="21" t="n">
        <f aca="false">IF(ISNUMBER(D25),MAX(0,D25-E25),0)</f>
        <v>8000000</v>
      </c>
      <c r="G25" s="21" t="n">
        <f aca="false">IF(ISNUMBER(D25),ROUNDUP(D25/C25,0),"No limit")</f>
        <v>5</v>
      </c>
      <c r="H25" s="21" t="n">
        <f aca="false">IFERROR(INT(E25/C25),0)</f>
        <v>4</v>
      </c>
      <c r="I25" s="21" t="n">
        <f aca="false">IFERROR(ROUNDUP(F25/C25,0),0)</f>
        <v>1</v>
      </c>
      <c r="J25" s="10" t="s">
        <v>319</v>
      </c>
    </row>
    <row r="26" customFormat="false" ht="15" hidden="false" customHeight="false" outlineLevel="0" collapsed="false">
      <c r="A26" s="11" t="s">
        <v>327</v>
      </c>
      <c r="B26" s="11" t="s">
        <v>343</v>
      </c>
      <c r="C26" s="13" t="n">
        <v>17000000</v>
      </c>
      <c r="D26" s="13" t="n">
        <v>85000000</v>
      </c>
      <c r="E26" s="24" t="n">
        <v>0</v>
      </c>
      <c r="F26" s="21" t="n">
        <f aca="false">IF(ISNUMBER(D26),MAX(0,D26-E26),0)</f>
        <v>85000000</v>
      </c>
      <c r="G26" s="21" t="n">
        <f aca="false">IF(ISNUMBER(D26),ROUNDUP(D26/C26,0),"No limit")</f>
        <v>5</v>
      </c>
      <c r="H26" s="21" t="n">
        <f aca="false">IFERROR(INT(E26/C26),0)</f>
        <v>0</v>
      </c>
      <c r="I26" s="21" t="n">
        <f aca="false">IFERROR(ROUNDUP(F26/C26,0),0)</f>
        <v>5</v>
      </c>
      <c r="J26" s="10" t="s">
        <v>319</v>
      </c>
    </row>
    <row r="27" customFormat="false" ht="15" hidden="false" customHeight="false" outlineLevel="0" collapsed="false">
      <c r="A27" s="11" t="s">
        <v>327</v>
      </c>
      <c r="B27" s="11" t="s">
        <v>344</v>
      </c>
      <c r="C27" s="13" t="n">
        <v>8000000</v>
      </c>
      <c r="D27" s="13" t="n">
        <v>40000000</v>
      </c>
      <c r="E27" s="24" t="n">
        <v>32000000</v>
      </c>
      <c r="F27" s="21" t="n">
        <f aca="false">IF(ISNUMBER(D27),MAX(0,D27-E27),0)</f>
        <v>8000000</v>
      </c>
      <c r="G27" s="21" t="n">
        <f aca="false">IF(ISNUMBER(D27),ROUNDUP(D27/C27,0),"No limit")</f>
        <v>5</v>
      </c>
      <c r="H27" s="21" t="n">
        <f aca="false">IFERROR(INT(E27/C27),0)</f>
        <v>4</v>
      </c>
      <c r="I27" s="21" t="n">
        <f aca="false">IFERROR(ROUNDUP(F27/C27,0),0)</f>
        <v>1</v>
      </c>
      <c r="J27" s="10" t="s">
        <v>319</v>
      </c>
    </row>
    <row r="28" customFormat="false" ht="15" hidden="false" customHeight="false" outlineLevel="0" collapsed="false">
      <c r="A28" s="11" t="s">
        <v>327</v>
      </c>
      <c r="B28" s="11" t="s">
        <v>345</v>
      </c>
      <c r="C28" s="13" t="n">
        <v>17000000</v>
      </c>
      <c r="D28" s="13" t="n">
        <v>85000000</v>
      </c>
      <c r="E28" s="24" t="n">
        <v>0</v>
      </c>
      <c r="F28" s="21" t="n">
        <f aca="false">IF(ISNUMBER(D28),MAX(0,D28-E28),0)</f>
        <v>85000000</v>
      </c>
      <c r="G28" s="21" t="n">
        <f aca="false">IF(ISNUMBER(D28),ROUNDUP(D28/C28,0),"No limit")</f>
        <v>5</v>
      </c>
      <c r="H28" s="21" t="n">
        <f aca="false">IFERROR(INT(E28/C28),0)</f>
        <v>0</v>
      </c>
      <c r="I28" s="21" t="n">
        <f aca="false">IFERROR(ROUNDUP(F28/C28,0),0)</f>
        <v>5</v>
      </c>
      <c r="J28" s="10" t="s">
        <v>319</v>
      </c>
    </row>
    <row r="29" customFormat="false" ht="15" hidden="false" customHeight="false" outlineLevel="0" collapsed="false">
      <c r="A29" s="11" t="s">
        <v>327</v>
      </c>
      <c r="B29" s="11" t="s">
        <v>346</v>
      </c>
      <c r="C29" s="13" t="n">
        <v>8000000</v>
      </c>
      <c r="D29" s="13" t="n">
        <v>40000000</v>
      </c>
      <c r="E29" s="24" t="n">
        <v>24000000</v>
      </c>
      <c r="F29" s="21" t="n">
        <f aca="false">IF(ISNUMBER(D29),MAX(0,D29-E29),0)</f>
        <v>16000000</v>
      </c>
      <c r="G29" s="21" t="n">
        <f aca="false">IF(ISNUMBER(D29),ROUNDUP(D29/C29,0),"No limit")</f>
        <v>5</v>
      </c>
      <c r="H29" s="21" t="n">
        <f aca="false">IFERROR(INT(E29/C29),0)</f>
        <v>3</v>
      </c>
      <c r="I29" s="21" t="n">
        <f aca="false">IFERROR(ROUNDUP(F29/C29,0),0)</f>
        <v>2</v>
      </c>
      <c r="J29" s="10" t="s">
        <v>319</v>
      </c>
    </row>
    <row r="30" customFormat="false" ht="15" hidden="false" customHeight="false" outlineLevel="0" collapsed="false">
      <c r="A30" s="11" t="s">
        <v>327</v>
      </c>
      <c r="B30" s="11" t="s">
        <v>347</v>
      </c>
      <c r="C30" s="13" t="n">
        <v>17000000</v>
      </c>
      <c r="D30" s="13" t="n">
        <v>85000000</v>
      </c>
      <c r="E30" s="24" t="n">
        <v>0</v>
      </c>
      <c r="F30" s="21" t="n">
        <f aca="false">IF(ISNUMBER(D30),MAX(0,D30-E30),0)</f>
        <v>85000000</v>
      </c>
      <c r="G30" s="21" t="n">
        <f aca="false">IF(ISNUMBER(D30),ROUNDUP(D30/C30,0),"No limit")</f>
        <v>5</v>
      </c>
      <c r="H30" s="21" t="n">
        <f aca="false">IFERROR(INT(E30/C30),0)</f>
        <v>0</v>
      </c>
      <c r="I30" s="21" t="n">
        <f aca="false">IFERROR(ROUNDUP(F30/C30,0),0)</f>
        <v>5</v>
      </c>
      <c r="J30" s="10" t="s">
        <v>319</v>
      </c>
    </row>
    <row r="31" customFormat="false" ht="15" hidden="false" customHeight="false" outlineLevel="0" collapsed="false">
      <c r="A31" s="11" t="s">
        <v>348</v>
      </c>
      <c r="B31" s="11" t="s">
        <v>349</v>
      </c>
      <c r="C31" s="13" t="n">
        <v>40000000</v>
      </c>
      <c r="D31" s="13" t="n">
        <v>80000000</v>
      </c>
      <c r="E31" s="24" t="n">
        <v>0</v>
      </c>
      <c r="F31" s="21" t="n">
        <f aca="false">IF(ISNUMBER(D31),MAX(0,D31-E31),0)</f>
        <v>80000000</v>
      </c>
      <c r="G31" s="21" t="n">
        <f aca="false">IF(ISNUMBER(D31),ROUNDUP(D31/C31,0),"No limit")</f>
        <v>2</v>
      </c>
      <c r="H31" s="21" t="n">
        <f aca="false">IFERROR(INT(E31/C31),0)</f>
        <v>0</v>
      </c>
      <c r="I31" s="21" t="n">
        <f aca="false">IFERROR(ROUNDUP(F31/C31,0),0)</f>
        <v>2</v>
      </c>
      <c r="J31" s="10" t="s">
        <v>319</v>
      </c>
    </row>
    <row r="32" customFormat="false" ht="15" hidden="false" customHeight="false" outlineLevel="0" collapsed="false">
      <c r="A32" s="11" t="s">
        <v>348</v>
      </c>
      <c r="B32" s="11" t="s">
        <v>350</v>
      </c>
      <c r="C32" s="13" t="n">
        <v>80000000</v>
      </c>
      <c r="D32" s="13" t="n">
        <v>160000000</v>
      </c>
      <c r="E32" s="24" t="n">
        <v>0</v>
      </c>
      <c r="F32" s="21" t="n">
        <f aca="false">IF(ISNUMBER(D32),MAX(0,D32-E32),0)</f>
        <v>160000000</v>
      </c>
      <c r="G32" s="21" t="n">
        <f aca="false">IF(ISNUMBER(D32),ROUNDUP(D32/C32,0),"No limit")</f>
        <v>2</v>
      </c>
      <c r="H32" s="21" t="n">
        <f aca="false">IFERROR(INT(E32/C32),0)</f>
        <v>0</v>
      </c>
      <c r="I32" s="21" t="n">
        <f aca="false">IFERROR(ROUNDUP(F32/C32,0),0)</f>
        <v>2</v>
      </c>
      <c r="J32" s="10" t="s">
        <v>319</v>
      </c>
    </row>
    <row r="33" customFormat="false" ht="15" hidden="false" customHeight="false" outlineLevel="0" collapsed="false">
      <c r="A33" s="11" t="s">
        <v>348</v>
      </c>
      <c r="B33" s="11" t="s">
        <v>351</v>
      </c>
      <c r="C33" s="13" t="n">
        <v>150000000</v>
      </c>
      <c r="D33" s="13" t="n">
        <v>300000000</v>
      </c>
      <c r="E33" s="24" t="n">
        <v>0</v>
      </c>
      <c r="F33" s="21" t="n">
        <f aca="false">IF(ISNUMBER(D33),MAX(0,D33-E33),0)</f>
        <v>300000000</v>
      </c>
      <c r="G33" s="21" t="n">
        <f aca="false">IF(ISNUMBER(D33),ROUNDUP(D33/C33,0),"No limit")</f>
        <v>2</v>
      </c>
      <c r="H33" s="21" t="n">
        <f aca="false">IFERROR(INT(E33/C33),0)</f>
        <v>0</v>
      </c>
      <c r="I33" s="21" t="n">
        <f aca="false">IFERROR(ROUNDUP(F33/C33,0),0)</f>
        <v>2</v>
      </c>
      <c r="J33" s="10" t="s">
        <v>319</v>
      </c>
    </row>
    <row r="34" customFormat="false" ht="15" hidden="false" customHeight="false" outlineLevel="0" collapsed="false">
      <c r="A34" s="11" t="s">
        <v>66</v>
      </c>
      <c r="B34" s="11" t="s">
        <v>352</v>
      </c>
      <c r="C34" s="13" t="n">
        <v>200000000</v>
      </c>
      <c r="D34" s="13" t="n">
        <v>200000000</v>
      </c>
      <c r="E34" s="24" t="n">
        <v>0</v>
      </c>
      <c r="F34" s="21" t="n">
        <f aca="false">IF(ISNUMBER(D34),MAX(0,D34-E34),0)</f>
        <v>200000000</v>
      </c>
      <c r="G34" s="21" t="n">
        <f aca="false">IF(ISNUMBER(D34),ROUNDUP(D34/C34,0),"No limit")</f>
        <v>1</v>
      </c>
      <c r="H34" s="21" t="n">
        <f aca="false">IFERROR(INT(E34/C34),0)</f>
        <v>0</v>
      </c>
      <c r="I34" s="21" t="n">
        <f aca="false">IFERROR(ROUNDUP(F34/C34,0),0)</f>
        <v>1</v>
      </c>
      <c r="J34" s="10" t="s">
        <v>319</v>
      </c>
    </row>
    <row r="35" customFormat="false" ht="15" hidden="false" customHeight="false" outlineLevel="0" collapsed="false">
      <c r="A35" s="11" t="s">
        <v>66</v>
      </c>
      <c r="B35" s="11" t="s">
        <v>353</v>
      </c>
      <c r="C35" s="13" t="n">
        <v>200000000</v>
      </c>
      <c r="D35" s="13" t="n">
        <v>200000000</v>
      </c>
      <c r="E35" s="24" t="n">
        <v>0</v>
      </c>
      <c r="F35" s="21" t="n">
        <f aca="false">IF(ISNUMBER(D35),MAX(0,D35-E35),0)</f>
        <v>200000000</v>
      </c>
      <c r="G35" s="21" t="n">
        <f aca="false">IF(ISNUMBER(D35),ROUNDUP(D35/C35,0),"No limit")</f>
        <v>1</v>
      </c>
      <c r="H35" s="21" t="n">
        <f aca="false">IFERROR(INT(E35/C35),0)</f>
        <v>0</v>
      </c>
      <c r="I35" s="21" t="n">
        <f aca="false">IFERROR(ROUNDUP(F35/C35,0),0)</f>
        <v>1</v>
      </c>
      <c r="J35" s="10" t="s">
        <v>319</v>
      </c>
    </row>
    <row r="36" customFormat="false" ht="15" hidden="false" customHeight="false" outlineLevel="0" collapsed="false">
      <c r="A36" s="11" t="s">
        <v>354</v>
      </c>
      <c r="B36" s="11" t="s">
        <v>355</v>
      </c>
      <c r="C36" s="13" t="n">
        <v>17000000</v>
      </c>
      <c r="D36" s="13" t="n">
        <v>85000000</v>
      </c>
      <c r="E36" s="24" t="n">
        <v>0</v>
      </c>
      <c r="F36" s="21" t="n">
        <f aca="false">IF(ISNUMBER(D36),MAX(0,D36-E36),0)</f>
        <v>85000000</v>
      </c>
      <c r="G36" s="21" t="n">
        <f aca="false">IF(ISNUMBER(D36),ROUNDUP(D36/C36,0),"No limit")</f>
        <v>5</v>
      </c>
      <c r="H36" s="21" t="n">
        <f aca="false">IFERROR(INT(E36/C36),0)</f>
        <v>0</v>
      </c>
      <c r="I36" s="21" t="n">
        <f aca="false">IFERROR(ROUNDUP(F36/C36,0),0)</f>
        <v>5</v>
      </c>
      <c r="J36" s="10" t="s">
        <v>319</v>
      </c>
    </row>
    <row r="37" customFormat="false" ht="15" hidden="false" customHeight="false" outlineLevel="0" collapsed="false">
      <c r="A37" s="11" t="s">
        <v>354</v>
      </c>
      <c r="B37" s="11" t="s">
        <v>356</v>
      </c>
      <c r="C37" s="13" t="n">
        <v>150000000</v>
      </c>
      <c r="D37" s="13" t="n">
        <v>750000000</v>
      </c>
      <c r="E37" s="24" t="n">
        <v>0</v>
      </c>
      <c r="F37" s="21" t="n">
        <f aca="false">IF(ISNUMBER(D37),MAX(0,D37-E37),0)</f>
        <v>750000000</v>
      </c>
      <c r="G37" s="21" t="n">
        <f aca="false">IF(ISNUMBER(D37),ROUNDUP(D37/C37,0),"No limit")</f>
        <v>5</v>
      </c>
      <c r="H37" s="21" t="n">
        <f aca="false">IFERROR(INT(E37/C37),0)</f>
        <v>0</v>
      </c>
      <c r="I37" s="21" t="n">
        <f aca="false">IFERROR(ROUNDUP(F37/C37,0),0)</f>
        <v>5</v>
      </c>
      <c r="J37" s="10" t="s">
        <v>319</v>
      </c>
    </row>
    <row r="38" customFormat="false" ht="15" hidden="false" customHeight="false" outlineLevel="0" collapsed="false">
      <c r="A38" s="11" t="s">
        <v>354</v>
      </c>
      <c r="B38" s="11" t="s">
        <v>357</v>
      </c>
      <c r="C38" s="13" t="n">
        <v>17000000</v>
      </c>
      <c r="D38" s="13" t="n">
        <v>85000000</v>
      </c>
      <c r="E38" s="24" t="n">
        <v>0</v>
      </c>
      <c r="F38" s="21" t="n">
        <f aca="false">IF(ISNUMBER(D38),MAX(0,D38-E38),0)</f>
        <v>85000000</v>
      </c>
      <c r="G38" s="21" t="n">
        <f aca="false">IF(ISNUMBER(D38),ROUNDUP(D38/C38,0),"No limit")</f>
        <v>5</v>
      </c>
      <c r="H38" s="21" t="n">
        <f aca="false">IFERROR(INT(E38/C38),0)</f>
        <v>0</v>
      </c>
      <c r="I38" s="21" t="n">
        <f aca="false">IFERROR(ROUNDUP(F38/C38,0),0)</f>
        <v>5</v>
      </c>
      <c r="J38" s="10" t="s">
        <v>319</v>
      </c>
    </row>
    <row r="39" customFormat="false" ht="15" hidden="false" customHeight="false" outlineLevel="0" collapsed="false">
      <c r="A39" s="11" t="s">
        <v>354</v>
      </c>
      <c r="B39" s="11" t="s">
        <v>358</v>
      </c>
      <c r="C39" s="13" t="n">
        <v>50000000</v>
      </c>
      <c r="D39" s="13" t="n">
        <v>250000000</v>
      </c>
      <c r="E39" s="24" t="n">
        <v>0</v>
      </c>
      <c r="F39" s="21" t="n">
        <f aca="false">IF(ISNUMBER(D39),MAX(0,D39-E39),0)</f>
        <v>250000000</v>
      </c>
      <c r="G39" s="21" t="n">
        <f aca="false">IF(ISNUMBER(D39),ROUNDUP(D39/C39,0),"No limit")</f>
        <v>5</v>
      </c>
      <c r="H39" s="21" t="n">
        <f aca="false">IFERROR(INT(E39/C39),0)</f>
        <v>0</v>
      </c>
      <c r="I39" s="21" t="n">
        <f aca="false">IFERROR(ROUNDUP(F39/C39,0),0)</f>
        <v>5</v>
      </c>
      <c r="J39" s="10" t="s">
        <v>319</v>
      </c>
    </row>
    <row r="40" customFormat="false" ht="15" hidden="false" customHeight="false" outlineLevel="0" collapsed="false">
      <c r="A40" s="11" t="s">
        <v>354</v>
      </c>
      <c r="B40" s="11" t="s">
        <v>359</v>
      </c>
      <c r="C40" s="13" t="n">
        <v>150000000</v>
      </c>
      <c r="D40" s="13" t="n">
        <v>750000000</v>
      </c>
      <c r="E40" s="24" t="n">
        <v>0</v>
      </c>
      <c r="F40" s="21" t="n">
        <f aca="false">IF(ISNUMBER(D40),MAX(0,D40-E40),0)</f>
        <v>750000000</v>
      </c>
      <c r="G40" s="21" t="n">
        <f aca="false">IF(ISNUMBER(D40),ROUNDUP(D40/C40,0),"No limit")</f>
        <v>5</v>
      </c>
      <c r="H40" s="21" t="n">
        <f aca="false">IFERROR(INT(E40/C40),0)</f>
        <v>0</v>
      </c>
      <c r="I40" s="21" t="n">
        <f aca="false">IFERROR(ROUNDUP(F40/C40,0),0)</f>
        <v>5</v>
      </c>
      <c r="J40" s="10" t="s">
        <v>319</v>
      </c>
    </row>
    <row r="41" customFormat="false" ht="15" hidden="false" customHeight="false" outlineLevel="0" collapsed="false">
      <c r="A41" s="11" t="s">
        <v>360</v>
      </c>
      <c r="B41" s="11" t="s">
        <v>361</v>
      </c>
      <c r="C41" s="13" t="n">
        <v>17000000</v>
      </c>
      <c r="D41" s="13" t="n">
        <v>85000000</v>
      </c>
      <c r="E41" s="24" t="n">
        <v>0</v>
      </c>
      <c r="F41" s="21" t="n">
        <f aca="false">IF(ISNUMBER(D41),MAX(0,D41-E41),0)</f>
        <v>85000000</v>
      </c>
      <c r="G41" s="21" t="n">
        <f aca="false">IF(ISNUMBER(D41),ROUNDUP(D41/C41,0),"No limit")</f>
        <v>5</v>
      </c>
      <c r="H41" s="21" t="n">
        <f aca="false">IFERROR(INT(E41/C41),0)</f>
        <v>0</v>
      </c>
      <c r="I41" s="21" t="n">
        <f aca="false">IFERROR(ROUNDUP(F41/C41,0),0)</f>
        <v>5</v>
      </c>
      <c r="J41" s="10" t="s">
        <v>319</v>
      </c>
    </row>
    <row r="42" customFormat="false" ht="15" hidden="false" customHeight="false" outlineLevel="0" collapsed="false">
      <c r="A42" s="11" t="s">
        <v>360</v>
      </c>
      <c r="B42" s="11" t="s">
        <v>362</v>
      </c>
      <c r="C42" s="13" t="n">
        <v>150000000</v>
      </c>
      <c r="D42" s="13" t="n">
        <v>750000000</v>
      </c>
      <c r="E42" s="24" t="n">
        <v>0</v>
      </c>
      <c r="F42" s="21" t="n">
        <f aca="false">IF(ISNUMBER(D42),MAX(0,D42-E42),0)</f>
        <v>750000000</v>
      </c>
      <c r="G42" s="21" t="n">
        <f aca="false">IF(ISNUMBER(D42),ROUNDUP(D42/C42,0),"No limit")</f>
        <v>5</v>
      </c>
      <c r="H42" s="21" t="n">
        <f aca="false">IFERROR(INT(E42/C42),0)</f>
        <v>0</v>
      </c>
      <c r="I42" s="21" t="n">
        <f aca="false">IFERROR(ROUNDUP(F42/C42,0),0)</f>
        <v>5</v>
      </c>
      <c r="J42" s="10" t="s">
        <v>319</v>
      </c>
    </row>
    <row r="43" customFormat="false" ht="15" hidden="false" customHeight="false" outlineLevel="0" collapsed="false">
      <c r="A43" s="11" t="s">
        <v>360</v>
      </c>
      <c r="B43" s="11" t="s">
        <v>363</v>
      </c>
      <c r="C43" s="13" t="n">
        <v>17000000</v>
      </c>
      <c r="D43" s="13" t="n">
        <v>85000000</v>
      </c>
      <c r="E43" s="24" t="n">
        <v>34000000</v>
      </c>
      <c r="F43" s="21" t="n">
        <f aca="false">IF(ISNUMBER(D43),MAX(0,D43-E43),0)</f>
        <v>51000000</v>
      </c>
      <c r="G43" s="21" t="n">
        <f aca="false">IF(ISNUMBER(D43),ROUNDUP(D43/C43,0),"No limit")</f>
        <v>5</v>
      </c>
      <c r="H43" s="21" t="n">
        <f aca="false">IFERROR(INT(E43/C43),0)</f>
        <v>2</v>
      </c>
      <c r="I43" s="21" t="n">
        <f aca="false">IFERROR(ROUNDUP(F43/C43,0),0)</f>
        <v>3</v>
      </c>
      <c r="J43" s="10" t="s">
        <v>319</v>
      </c>
    </row>
    <row r="44" customFormat="false" ht="15" hidden="false" customHeight="false" outlineLevel="0" collapsed="false">
      <c r="A44" s="11" t="s">
        <v>360</v>
      </c>
      <c r="B44" s="11" t="s">
        <v>364</v>
      </c>
      <c r="C44" s="13" t="n">
        <v>50000000</v>
      </c>
      <c r="D44" s="13" t="n">
        <v>250000000</v>
      </c>
      <c r="E44" s="24" t="n">
        <v>0</v>
      </c>
      <c r="F44" s="21" t="n">
        <f aca="false">IF(ISNUMBER(D44),MAX(0,D44-E44),0)</f>
        <v>250000000</v>
      </c>
      <c r="G44" s="21" t="n">
        <f aca="false">IF(ISNUMBER(D44),ROUNDUP(D44/C44,0),"No limit")</f>
        <v>5</v>
      </c>
      <c r="H44" s="21" t="n">
        <f aca="false">IFERROR(INT(E44/C44),0)</f>
        <v>0</v>
      </c>
      <c r="I44" s="21" t="n">
        <f aca="false">IFERROR(ROUNDUP(F44/C44,0),0)</f>
        <v>5</v>
      </c>
      <c r="J44" s="10" t="s">
        <v>319</v>
      </c>
    </row>
    <row r="45" customFormat="false" ht="15" hidden="false" customHeight="false" outlineLevel="0" collapsed="false">
      <c r="A45" s="11" t="s">
        <v>360</v>
      </c>
      <c r="B45" s="11" t="s">
        <v>365</v>
      </c>
      <c r="C45" s="13" t="n">
        <v>150000000</v>
      </c>
      <c r="D45" s="13" t="n">
        <v>750000000</v>
      </c>
      <c r="E45" s="24" t="n">
        <v>0</v>
      </c>
      <c r="F45" s="21" t="n">
        <f aca="false">IF(ISNUMBER(D45),MAX(0,D45-E45),0)</f>
        <v>750000000</v>
      </c>
      <c r="G45" s="21" t="n">
        <f aca="false">IF(ISNUMBER(D45),ROUNDUP(D45/C45,0),"No limit")</f>
        <v>5</v>
      </c>
      <c r="H45" s="21" t="n">
        <f aca="false">IFERROR(INT(E45/C45),0)</f>
        <v>0</v>
      </c>
      <c r="I45" s="21" t="n">
        <f aca="false">IFERROR(ROUNDUP(F45/C45,0),0)</f>
        <v>5</v>
      </c>
      <c r="J45" s="10" t="s">
        <v>319</v>
      </c>
    </row>
    <row r="46" customFormat="false" ht="15" hidden="false" customHeight="false" outlineLevel="0" collapsed="false">
      <c r="A46" s="11" t="s">
        <v>317</v>
      </c>
      <c r="B46" s="11" t="s">
        <v>366</v>
      </c>
      <c r="C46" s="13" t="n">
        <v>4500000</v>
      </c>
      <c r="D46" s="13" t="n">
        <v>27000000</v>
      </c>
      <c r="E46" s="24" t="n">
        <v>0</v>
      </c>
      <c r="F46" s="21" t="n">
        <f aca="false">IF(ISNUMBER(D46),MAX(0,D46-E46),0)</f>
        <v>27000000</v>
      </c>
      <c r="G46" s="21" t="n">
        <f aca="false">IF(ISNUMBER(D46),ROUNDUP(D46/C46,0),"No limit")</f>
        <v>6</v>
      </c>
      <c r="H46" s="21" t="n">
        <f aca="false">IFERROR(INT(E46/C46),0)</f>
        <v>0</v>
      </c>
      <c r="I46" s="21" t="n">
        <f aca="false">IFERROR(ROUNDUP(F46/C46,0),0)</f>
        <v>6</v>
      </c>
      <c r="J46" s="10" t="s">
        <v>319</v>
      </c>
    </row>
    <row r="47" customFormat="false" ht="15" hidden="false" customHeight="false" outlineLevel="0" collapsed="false">
      <c r="A47" s="11" t="s">
        <v>367</v>
      </c>
      <c r="B47" s="11" t="s">
        <v>368</v>
      </c>
      <c r="C47" s="13" t="n">
        <v>1</v>
      </c>
      <c r="D47" s="13" t="s">
        <v>369</v>
      </c>
      <c r="E47" s="24" t="n">
        <v>40250000</v>
      </c>
      <c r="F47" s="21" t="n">
        <f aca="false">IF(ISNUMBER(D47),MAX(0,D47-E47),0)</f>
        <v>0</v>
      </c>
      <c r="G47" s="21" t="str">
        <f aca="false">IF(ISNUMBER(D47),ROUNDUP(D47/C47,0),"No limit")</f>
        <v>No limit</v>
      </c>
      <c r="H47" s="21" t="n">
        <f aca="false">IFERROR(INT(E47/C47),0)</f>
        <v>40250000</v>
      </c>
      <c r="I47" s="21" t="n">
        <f aca="false">IFERROR(ROUNDUP(F47/C47,0),0)</f>
        <v>0</v>
      </c>
      <c r="J47" s="10" t="s">
        <v>323</v>
      </c>
    </row>
    <row r="49" customFormat="false" ht="15" hidden="false" customHeight="false" outlineLevel="0" collapsed="false">
      <c r="B49" s="15" t="s">
        <v>370</v>
      </c>
      <c r="E49" s="19" t="n">
        <f aca="false">SUM(E5:E47)</f>
        <v>666802650</v>
      </c>
      <c r="F49" s="19"/>
    </row>
    <row r="50" customFormat="false" ht="15" hidden="false" customHeight="false" outlineLevel="0" collapsed="false">
      <c r="B50" s="15" t="s">
        <v>371</v>
      </c>
      <c r="E50" s="19"/>
      <c r="F50" s="19" t="n">
        <f aca="false">SUM(F5:F47)</f>
        <v>7270447350</v>
      </c>
    </row>
    <row r="51" customFormat="false" ht="15" hidden="false" customHeight="false" outlineLevel="0" collapsed="false">
      <c r="B51" s="15" t="s">
        <v>372</v>
      </c>
      <c r="E51" s="19"/>
      <c r="F51" s="19" t="n">
        <f aca="false">SUMIF(J5:J47,"Yes",F5:F47)</f>
        <v>5358000000</v>
      </c>
    </row>
    <row r="52" customFormat="false" ht="15" hidden="false" customHeight="false" outlineLevel="0" collapsed="false">
      <c r="B52" s="2" t="s">
        <v>373</v>
      </c>
    </row>
  </sheetData>
  <autoFilter ref="A4:J47"/>
  <conditionalFormatting sqref="F5:F47">
    <cfRule type="cellIs" priority="2" operator="equal" aboveAverage="0" equalAverage="0" bottom="0" percent="0" rank="0" text="" dxfId="12">
      <formula>0</formula>
    </cfRule>
  </conditionalFormatting>
  <dataValidations count="1">
    <dataValidation allowBlank="true" errorStyle="stop" operator="between" showDropDown="false" showErrorMessage="false" showInputMessage="false" sqref="J5:J47" type="list">
      <formula1>"Yes,No"</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10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5" min="2" style="0" width="13"/>
    <col collapsed="false" customWidth="true" hidden="false" outlineLevel="0" max="8" min="6" style="0" width="12"/>
    <col collapsed="false" customWidth="true" hidden="false" outlineLevel="0" max="9" min="9" style="0" width="13"/>
    <col collapsed="false" customWidth="true" hidden="false" outlineLevel="0" max="10" min="10" style="0" width="11"/>
    <col collapsed="false" customWidth="true" hidden="false" outlineLevel="0" max="11" min="11" style="0" width="46"/>
  </cols>
  <sheetData>
    <row r="1" customFormat="false" ht="17.35" hidden="false" customHeight="false" outlineLevel="0" collapsed="false">
      <c r="A1" s="1" t="s">
        <v>374</v>
      </c>
    </row>
    <row r="2" customFormat="false" ht="15" hidden="false" customHeight="false" outlineLevel="0" collapsed="false">
      <c r="A2" s="2" t="s">
        <v>375</v>
      </c>
    </row>
    <row r="4" customFormat="false" ht="26.85" hidden="false" customHeight="false" outlineLevel="0" collapsed="false">
      <c r="A4" s="3" t="s">
        <v>376</v>
      </c>
      <c r="B4" s="3" t="s">
        <v>377</v>
      </c>
      <c r="C4" s="3" t="s">
        <v>378</v>
      </c>
      <c r="D4" s="3" t="s">
        <v>379</v>
      </c>
      <c r="E4" s="3" t="s">
        <v>380</v>
      </c>
      <c r="F4" s="3" t="s">
        <v>381</v>
      </c>
      <c r="G4" s="3" t="s">
        <v>382</v>
      </c>
      <c r="H4" s="3" t="s">
        <v>383</v>
      </c>
    </row>
    <row r="5" customFormat="false" ht="15" hidden="false" customHeight="false" outlineLevel="0" collapsed="false">
      <c r="A5" s="15" t="s">
        <v>384</v>
      </c>
      <c r="B5" s="26" t="n">
        <v>12130000</v>
      </c>
      <c r="C5" s="26" t="n">
        <v>159500</v>
      </c>
      <c r="D5" s="26" t="n">
        <v>2590000</v>
      </c>
      <c r="E5" s="26" t="n">
        <v>13420000</v>
      </c>
      <c r="F5" s="26" t="n">
        <v>221</v>
      </c>
      <c r="G5" s="26" t="n">
        <v>869</v>
      </c>
      <c r="H5" s="26" t="n">
        <v>194</v>
      </c>
    </row>
    <row r="6" customFormat="false" ht="15" hidden="false" customHeight="false" outlineLevel="0" collapsed="false">
      <c r="A6" s="15" t="s">
        <v>385</v>
      </c>
      <c r="B6" s="27" t="n">
        <f aca="false">SUMIFS(B13:B76,$I$13:$I$76,"Yes",$J$13:$J$76,"No")</f>
        <v>27050000</v>
      </c>
      <c r="C6" s="27" t="n">
        <f aca="false">SUMIFS(C13:C76,$I$13:$I$76,"Yes",$J$13:$J$76,"No")</f>
        <v>3700000</v>
      </c>
      <c r="D6" s="27" t="n">
        <f aca="false">SUMIFS(D13:D76,$I$13:$I$76,"Yes",$J$13:$J$76,"No")</f>
        <v>3886000</v>
      </c>
      <c r="E6" s="27" t="n">
        <f aca="false">SUMIFS(E13:E76,$I$13:$I$76,"Yes",$J$13:$J$76,"No")</f>
        <v>3486000</v>
      </c>
      <c r="F6" s="27" t="n">
        <f aca="false">SUMIFS(F13:F76,$I$13:$I$76,"Yes",$J$13:$J$76,"No")</f>
        <v>0</v>
      </c>
      <c r="G6" s="27" t="n">
        <f aca="false">SUMIFS(G13:G76,$I$13:$I$76,"Yes",$J$13:$J$76,"No")</f>
        <v>100</v>
      </c>
      <c r="H6" s="27" t="n">
        <f aca="false">SUMIFS(H13:H76,$I$13:$I$76,"Yes",$J$13:$J$76,"No")</f>
        <v>885</v>
      </c>
    </row>
    <row r="7" customFormat="false" ht="15" hidden="false" customHeight="false" outlineLevel="0" collapsed="false">
      <c r="A7" s="15" t="s">
        <v>386</v>
      </c>
      <c r="B7" s="27" t="n">
        <f aca="false">B5+B6</f>
        <v>39180000</v>
      </c>
      <c r="C7" s="27" t="n">
        <f aca="false">C5+C6</f>
        <v>3859500</v>
      </c>
      <c r="D7" s="27" t="n">
        <f aca="false">D5+D6</f>
        <v>6476000</v>
      </c>
      <c r="E7" s="27" t="n">
        <f aca="false">E5+E6</f>
        <v>16906000</v>
      </c>
      <c r="F7" s="27" t="n">
        <f aca="false">F5+F6</f>
        <v>221</v>
      </c>
      <c r="G7" s="27" t="n">
        <f aca="false">G5+G6</f>
        <v>969</v>
      </c>
      <c r="H7" s="27" t="n">
        <f aca="false">H5+H6</f>
        <v>1079</v>
      </c>
    </row>
    <row r="8" customFormat="false" ht="15" hidden="false" customHeight="false" outlineLevel="0" collapsed="false">
      <c r="A8" s="15" t="s">
        <v>387</v>
      </c>
      <c r="B8" s="27" t="n">
        <f aca="false">SUMIF($J$80:$J$101,"Planned",B80:B101)</f>
        <v>0</v>
      </c>
      <c r="C8" s="27" t="n">
        <f aca="false">SUMIF($J$80:$J$101,"Planned",C80:C101)</f>
        <v>0</v>
      </c>
      <c r="D8" s="27" t="n">
        <f aca="false">SUMIF($J$80:$J$101,"Planned",D80:D101)</f>
        <v>0</v>
      </c>
      <c r="E8" s="27" t="n">
        <f aca="false">SUMIF($J$80:$J$101,"Planned",E80:E101)</f>
        <v>0</v>
      </c>
      <c r="F8" s="27" t="n">
        <f aca="false">SUMIF($J$80:$J$101,"Planned",F80:F101)</f>
        <v>0</v>
      </c>
      <c r="G8" s="27" t="n">
        <f aca="false">SUMIF($J$80:$J$101,"Planned",G80:G101)</f>
        <v>0</v>
      </c>
      <c r="H8" s="27" t="n">
        <f aca="false">SUMIF($J$80:$J$101,"Planned",H80:H101)</f>
        <v>0</v>
      </c>
    </row>
    <row r="9" customFormat="false" ht="15" hidden="false" customHeight="false" outlineLevel="0" collapsed="false">
      <c r="A9" s="15" t="s">
        <v>388</v>
      </c>
      <c r="B9" s="28" t="n">
        <f aca="false">B7-B8</f>
        <v>39180000</v>
      </c>
      <c r="C9" s="28" t="n">
        <f aca="false">C7-C8</f>
        <v>3859500</v>
      </c>
      <c r="D9" s="28" t="n">
        <f aca="false">D7-D8</f>
        <v>6476000</v>
      </c>
      <c r="E9" s="28" t="n">
        <f aca="false">E7-E8</f>
        <v>16906000</v>
      </c>
      <c r="F9" s="28" t="n">
        <f aca="false">F7-F8</f>
        <v>221</v>
      </c>
      <c r="G9" s="28" t="n">
        <f aca="false">G7-G8</f>
        <v>969</v>
      </c>
      <c r="H9" s="28" t="n">
        <f aca="false">H7-H8</f>
        <v>1079</v>
      </c>
    </row>
    <row r="10" customFormat="false" ht="15" hidden="false" customHeight="false" outlineLevel="0" collapsed="false">
      <c r="A10" s="2" t="s">
        <v>389</v>
      </c>
    </row>
    <row r="11" customFormat="false" ht="15" hidden="false" customHeight="false" outlineLevel="0" collapsed="false">
      <c r="A11" s="22" t="s">
        <v>390</v>
      </c>
    </row>
    <row r="12" customFormat="false" ht="26.85" hidden="false" customHeight="false" outlineLevel="0" collapsed="false">
      <c r="A12" s="3" t="s">
        <v>391</v>
      </c>
      <c r="B12" s="3" t="s">
        <v>377</v>
      </c>
      <c r="C12" s="3" t="s">
        <v>378</v>
      </c>
      <c r="D12" s="3" t="s">
        <v>379</v>
      </c>
      <c r="E12" s="3" t="s">
        <v>380</v>
      </c>
      <c r="F12" s="3" t="s">
        <v>381</v>
      </c>
      <c r="G12" s="3" t="s">
        <v>382</v>
      </c>
      <c r="H12" s="3" t="s">
        <v>383</v>
      </c>
      <c r="I12" s="3" t="s">
        <v>392</v>
      </c>
      <c r="J12" s="3" t="s">
        <v>393</v>
      </c>
      <c r="K12" s="3" t="s">
        <v>13</v>
      </c>
    </row>
    <row r="13" customFormat="false" ht="15" hidden="false" customHeight="false" outlineLevel="0" collapsed="false">
      <c r="A13" s="11" t="s">
        <v>394</v>
      </c>
      <c r="B13" s="29" t="n">
        <v>100000</v>
      </c>
      <c r="C13" s="29" t="n">
        <v>0</v>
      </c>
      <c r="D13" s="29" t="n">
        <v>0</v>
      </c>
      <c r="E13" s="29" t="n">
        <v>0</v>
      </c>
      <c r="F13" s="29" t="n">
        <v>0</v>
      </c>
      <c r="G13" s="29" t="n">
        <v>0</v>
      </c>
      <c r="H13" s="29" t="n">
        <v>0</v>
      </c>
      <c r="I13" s="10" t="s">
        <v>319</v>
      </c>
      <c r="J13" s="10" t="s">
        <v>319</v>
      </c>
      <c r="K13" s="14" t="s">
        <v>395</v>
      </c>
    </row>
    <row r="14" customFormat="false" ht="15" hidden="false" customHeight="false" outlineLevel="0" collapsed="false">
      <c r="A14" s="11" t="s">
        <v>396</v>
      </c>
      <c r="B14" s="29" t="n">
        <v>1600000</v>
      </c>
      <c r="C14" s="29" t="n">
        <v>0</v>
      </c>
      <c r="D14" s="29" t="n">
        <v>0</v>
      </c>
      <c r="E14" s="29" t="n">
        <v>0</v>
      </c>
      <c r="F14" s="29" t="n">
        <v>0</v>
      </c>
      <c r="G14" s="29" t="n">
        <v>0</v>
      </c>
      <c r="H14" s="29" t="n">
        <v>0</v>
      </c>
      <c r="I14" s="10" t="s">
        <v>319</v>
      </c>
      <c r="J14" s="10" t="s">
        <v>319</v>
      </c>
      <c r="K14" s="14" t="s">
        <v>397</v>
      </c>
    </row>
    <row r="15" customFormat="false" ht="15" hidden="false" customHeight="false" outlineLevel="0" collapsed="false">
      <c r="A15" s="11" t="s">
        <v>398</v>
      </c>
      <c r="B15" s="29" t="n">
        <v>1600000</v>
      </c>
      <c r="C15" s="29" t="n">
        <v>0</v>
      </c>
      <c r="D15" s="29" t="n">
        <v>0</v>
      </c>
      <c r="E15" s="29" t="n">
        <v>0</v>
      </c>
      <c r="F15" s="29" t="n">
        <v>0</v>
      </c>
      <c r="G15" s="29" t="n">
        <v>0</v>
      </c>
      <c r="H15" s="29" t="n">
        <v>0</v>
      </c>
      <c r="I15" s="10" t="s">
        <v>319</v>
      </c>
      <c r="J15" s="10" t="s">
        <v>323</v>
      </c>
      <c r="K15" s="14" t="s">
        <v>397</v>
      </c>
    </row>
    <row r="16" customFormat="false" ht="15" hidden="false" customHeight="false" outlineLevel="0" collapsed="false">
      <c r="A16" s="11" t="s">
        <v>399</v>
      </c>
      <c r="B16" s="29" t="n">
        <v>1600000</v>
      </c>
      <c r="C16" s="29" t="n">
        <v>0</v>
      </c>
      <c r="D16" s="29" t="n">
        <v>0</v>
      </c>
      <c r="E16" s="29" t="n">
        <v>0</v>
      </c>
      <c r="F16" s="29" t="n">
        <v>0</v>
      </c>
      <c r="G16" s="29" t="n">
        <v>0</v>
      </c>
      <c r="H16" s="29" t="n">
        <v>0</v>
      </c>
      <c r="I16" s="10" t="s">
        <v>319</v>
      </c>
      <c r="J16" s="10" t="s">
        <v>323</v>
      </c>
      <c r="K16" s="14" t="s">
        <v>397</v>
      </c>
    </row>
    <row r="17" customFormat="false" ht="15" hidden="false" customHeight="false" outlineLevel="0" collapsed="false">
      <c r="A17" s="11" t="s">
        <v>400</v>
      </c>
      <c r="B17" s="29" t="n">
        <v>1600000</v>
      </c>
      <c r="C17" s="29" t="n">
        <v>0</v>
      </c>
      <c r="D17" s="29" t="n">
        <v>0</v>
      </c>
      <c r="E17" s="29" t="n">
        <v>0</v>
      </c>
      <c r="F17" s="29" t="n">
        <v>0</v>
      </c>
      <c r="G17" s="29" t="n">
        <v>0</v>
      </c>
      <c r="H17" s="29" t="n">
        <v>0</v>
      </c>
      <c r="I17" s="10" t="s">
        <v>319</v>
      </c>
      <c r="J17" s="10" t="s">
        <v>323</v>
      </c>
      <c r="K17" s="14" t="s">
        <v>397</v>
      </c>
    </row>
    <row r="18" customFormat="false" ht="15" hidden="false" customHeight="false" outlineLevel="0" collapsed="false">
      <c r="A18" s="11" t="s">
        <v>401</v>
      </c>
      <c r="B18" s="29" t="n">
        <v>1600000</v>
      </c>
      <c r="C18" s="29" t="n">
        <v>0</v>
      </c>
      <c r="D18" s="29" t="n">
        <v>0</v>
      </c>
      <c r="E18" s="29" t="n">
        <v>0</v>
      </c>
      <c r="F18" s="29" t="n">
        <v>0</v>
      </c>
      <c r="G18" s="29" t="n">
        <v>0</v>
      </c>
      <c r="H18" s="29" t="n">
        <v>0</v>
      </c>
      <c r="I18" s="10" t="s">
        <v>319</v>
      </c>
      <c r="J18" s="10" t="s">
        <v>323</v>
      </c>
      <c r="K18" s="14" t="s">
        <v>397</v>
      </c>
    </row>
    <row r="19" customFormat="false" ht="15" hidden="false" customHeight="false" outlineLevel="0" collapsed="false">
      <c r="A19" s="11" t="s">
        <v>402</v>
      </c>
      <c r="B19" s="29" t="n">
        <v>1600000</v>
      </c>
      <c r="C19" s="29" t="n">
        <v>0</v>
      </c>
      <c r="D19" s="29" t="n">
        <v>0</v>
      </c>
      <c r="E19" s="29" t="n">
        <v>0</v>
      </c>
      <c r="F19" s="29" t="n">
        <v>0</v>
      </c>
      <c r="G19" s="29" t="n">
        <v>0</v>
      </c>
      <c r="H19" s="29" t="n">
        <v>0</v>
      </c>
      <c r="I19" s="10" t="s">
        <v>319</v>
      </c>
      <c r="J19" s="10" t="s">
        <v>323</v>
      </c>
      <c r="K19" s="14" t="s">
        <v>397</v>
      </c>
    </row>
    <row r="20" customFormat="false" ht="15" hidden="false" customHeight="false" outlineLevel="0" collapsed="false">
      <c r="A20" s="11" t="s">
        <v>403</v>
      </c>
      <c r="B20" s="29" t="n">
        <v>1600000</v>
      </c>
      <c r="C20" s="29" t="n">
        <v>0</v>
      </c>
      <c r="D20" s="29" t="n">
        <v>0</v>
      </c>
      <c r="E20" s="29" t="n">
        <v>0</v>
      </c>
      <c r="F20" s="29" t="n">
        <v>0</v>
      </c>
      <c r="G20" s="29" t="n">
        <v>0</v>
      </c>
      <c r="H20" s="29" t="n">
        <v>0</v>
      </c>
      <c r="I20" s="10" t="s">
        <v>319</v>
      </c>
      <c r="J20" s="10" t="s">
        <v>323</v>
      </c>
      <c r="K20" s="14" t="s">
        <v>397</v>
      </c>
    </row>
    <row r="21" customFormat="false" ht="15" hidden="false" customHeight="false" outlineLevel="0" collapsed="false">
      <c r="A21" s="11" t="s">
        <v>404</v>
      </c>
      <c r="B21" s="29" t="n">
        <v>100000</v>
      </c>
      <c r="C21" s="29" t="n">
        <v>0</v>
      </c>
      <c r="D21" s="29" t="n">
        <v>0</v>
      </c>
      <c r="E21" s="29" t="n">
        <v>0</v>
      </c>
      <c r="F21" s="29" t="n">
        <v>0</v>
      </c>
      <c r="G21" s="29" t="n">
        <v>0</v>
      </c>
      <c r="H21" s="29" t="n">
        <v>0</v>
      </c>
      <c r="I21" s="10" t="s">
        <v>319</v>
      </c>
      <c r="J21" s="10" t="s">
        <v>323</v>
      </c>
      <c r="K21" s="14"/>
    </row>
    <row r="22" customFormat="false" ht="15" hidden="false" customHeight="false" outlineLevel="0" collapsed="false">
      <c r="A22" s="11" t="s">
        <v>405</v>
      </c>
      <c r="B22" s="29" t="n">
        <v>200000</v>
      </c>
      <c r="C22" s="29" t="n">
        <v>0</v>
      </c>
      <c r="D22" s="29" t="n">
        <v>0</v>
      </c>
      <c r="E22" s="29" t="n">
        <v>0</v>
      </c>
      <c r="F22" s="29" t="n">
        <v>0</v>
      </c>
      <c r="G22" s="29" t="n">
        <v>0</v>
      </c>
      <c r="H22" s="29" t="n">
        <v>0</v>
      </c>
      <c r="I22" s="10" t="s">
        <v>319</v>
      </c>
      <c r="J22" s="10" t="s">
        <v>323</v>
      </c>
      <c r="K22" s="14"/>
    </row>
    <row r="23" customFormat="false" ht="15" hidden="false" customHeight="false" outlineLevel="0" collapsed="false">
      <c r="A23" s="11" t="s">
        <v>406</v>
      </c>
      <c r="B23" s="29" t="n">
        <v>0</v>
      </c>
      <c r="C23" s="29" t="n">
        <v>0</v>
      </c>
      <c r="D23" s="29" t="n">
        <v>0</v>
      </c>
      <c r="E23" s="29" t="n">
        <v>0</v>
      </c>
      <c r="F23" s="29" t="n">
        <v>0</v>
      </c>
      <c r="G23" s="29" t="n">
        <v>100</v>
      </c>
      <c r="H23" s="29" t="n">
        <v>0</v>
      </c>
      <c r="I23" s="10" t="s">
        <v>319</v>
      </c>
      <c r="J23" s="10" t="s">
        <v>323</v>
      </c>
      <c r="K23" s="14" t="s">
        <v>407</v>
      </c>
    </row>
    <row r="24" customFormat="false" ht="15" hidden="false" customHeight="false" outlineLevel="0" collapsed="false">
      <c r="A24" s="11" t="s">
        <v>408</v>
      </c>
      <c r="B24" s="29" t="n">
        <v>150000</v>
      </c>
      <c r="C24" s="29" t="n">
        <v>0</v>
      </c>
      <c r="D24" s="29" t="n">
        <v>0</v>
      </c>
      <c r="E24" s="29" t="n">
        <v>0</v>
      </c>
      <c r="F24" s="29" t="n">
        <v>0</v>
      </c>
      <c r="G24" s="29" t="n">
        <v>0</v>
      </c>
      <c r="H24" s="29" t="n">
        <v>15</v>
      </c>
      <c r="I24" s="10" t="s">
        <v>319</v>
      </c>
      <c r="J24" s="10" t="s">
        <v>319</v>
      </c>
      <c r="K24" s="14"/>
    </row>
    <row r="25" customFormat="false" ht="15" hidden="false" customHeight="false" outlineLevel="0" collapsed="false">
      <c r="A25" s="11" t="s">
        <v>409</v>
      </c>
      <c r="B25" s="29" t="n">
        <v>150000</v>
      </c>
      <c r="C25" s="29" t="n">
        <v>0</v>
      </c>
      <c r="D25" s="29" t="n">
        <v>0</v>
      </c>
      <c r="E25" s="29" t="n">
        <v>0</v>
      </c>
      <c r="F25" s="29" t="n">
        <v>0</v>
      </c>
      <c r="G25" s="29" t="n">
        <v>0</v>
      </c>
      <c r="H25" s="29" t="n">
        <v>20</v>
      </c>
      <c r="I25" s="10" t="s">
        <v>319</v>
      </c>
      <c r="J25" s="10" t="s">
        <v>319</v>
      </c>
      <c r="K25" s="14"/>
    </row>
    <row r="26" customFormat="false" ht="15" hidden="false" customHeight="false" outlineLevel="0" collapsed="false">
      <c r="A26" s="11" t="s">
        <v>410</v>
      </c>
      <c r="B26" s="29" t="n">
        <v>200000</v>
      </c>
      <c r="C26" s="29" t="n">
        <v>0</v>
      </c>
      <c r="D26" s="29" t="n">
        <v>0</v>
      </c>
      <c r="E26" s="29" t="n">
        <v>0</v>
      </c>
      <c r="F26" s="29" t="n">
        <v>0</v>
      </c>
      <c r="G26" s="29" t="n">
        <v>0</v>
      </c>
      <c r="H26" s="29" t="n">
        <v>25</v>
      </c>
      <c r="I26" s="10" t="s">
        <v>319</v>
      </c>
      <c r="J26" s="10" t="s">
        <v>319</v>
      </c>
      <c r="K26" s="14"/>
    </row>
    <row r="27" customFormat="false" ht="15" hidden="false" customHeight="false" outlineLevel="0" collapsed="false">
      <c r="A27" s="11" t="s">
        <v>411</v>
      </c>
      <c r="B27" s="29" t="n">
        <v>250000</v>
      </c>
      <c r="C27" s="29" t="n">
        <v>0</v>
      </c>
      <c r="D27" s="29" t="n">
        <v>0</v>
      </c>
      <c r="E27" s="29" t="n">
        <v>0</v>
      </c>
      <c r="F27" s="29" t="n">
        <v>0</v>
      </c>
      <c r="G27" s="29" t="n">
        <v>0</v>
      </c>
      <c r="H27" s="29" t="n">
        <v>30</v>
      </c>
      <c r="I27" s="10" t="s">
        <v>319</v>
      </c>
      <c r="J27" s="10" t="s">
        <v>319</v>
      </c>
      <c r="K27" s="14"/>
    </row>
    <row r="28" customFormat="false" ht="15" hidden="false" customHeight="false" outlineLevel="0" collapsed="false">
      <c r="A28" s="11" t="s">
        <v>412</v>
      </c>
      <c r="B28" s="29" t="n">
        <v>300000</v>
      </c>
      <c r="C28" s="29" t="n">
        <v>0</v>
      </c>
      <c r="D28" s="29" t="n">
        <v>0</v>
      </c>
      <c r="E28" s="29" t="n">
        <v>0</v>
      </c>
      <c r="F28" s="29" t="n">
        <v>0</v>
      </c>
      <c r="G28" s="29" t="n">
        <v>0</v>
      </c>
      <c r="H28" s="29" t="n">
        <v>40</v>
      </c>
      <c r="I28" s="10" t="s">
        <v>319</v>
      </c>
      <c r="J28" s="10" t="s">
        <v>323</v>
      </c>
      <c r="K28" s="14"/>
    </row>
    <row r="29" customFormat="false" ht="15" hidden="false" customHeight="false" outlineLevel="0" collapsed="false">
      <c r="A29" s="11" t="s">
        <v>413</v>
      </c>
      <c r="B29" s="29" t="n">
        <v>350000</v>
      </c>
      <c r="C29" s="29" t="n">
        <v>0</v>
      </c>
      <c r="D29" s="29" t="n">
        <v>0</v>
      </c>
      <c r="E29" s="29" t="n">
        <v>0</v>
      </c>
      <c r="F29" s="29" t="n">
        <v>0</v>
      </c>
      <c r="G29" s="29" t="n">
        <v>0</v>
      </c>
      <c r="H29" s="29" t="n">
        <v>45</v>
      </c>
      <c r="I29" s="10" t="s">
        <v>319</v>
      </c>
      <c r="J29" s="10" t="s">
        <v>323</v>
      </c>
      <c r="K29" s="14"/>
    </row>
    <row r="30" customFormat="false" ht="15" hidden="false" customHeight="false" outlineLevel="0" collapsed="false">
      <c r="A30" s="11" t="s">
        <v>414</v>
      </c>
      <c r="B30" s="29" t="n">
        <v>0</v>
      </c>
      <c r="C30" s="29" t="n">
        <v>0</v>
      </c>
      <c r="D30" s="29" t="n">
        <v>0</v>
      </c>
      <c r="E30" s="29" t="n">
        <v>0</v>
      </c>
      <c r="F30" s="29" t="n">
        <v>0</v>
      </c>
      <c r="G30" s="29" t="n">
        <v>0</v>
      </c>
      <c r="H30" s="29" t="n">
        <v>0</v>
      </c>
      <c r="I30" s="10" t="s">
        <v>319</v>
      </c>
      <c r="J30" s="10" t="s">
        <v>323</v>
      </c>
      <c r="K30" s="14" t="s">
        <v>415</v>
      </c>
    </row>
    <row r="31" customFormat="false" ht="15" hidden="false" customHeight="false" outlineLevel="0" collapsed="false">
      <c r="A31" s="11" t="s">
        <v>416</v>
      </c>
      <c r="B31" s="29" t="n">
        <v>0</v>
      </c>
      <c r="C31" s="29" t="n">
        <v>0</v>
      </c>
      <c r="D31" s="29" t="n">
        <v>0</v>
      </c>
      <c r="E31" s="29" t="n">
        <v>0</v>
      </c>
      <c r="F31" s="29" t="n">
        <v>0</v>
      </c>
      <c r="G31" s="29" t="n">
        <v>0</v>
      </c>
      <c r="H31" s="29" t="n">
        <v>0</v>
      </c>
      <c r="I31" s="10" t="s">
        <v>319</v>
      </c>
      <c r="J31" s="10" t="s">
        <v>323</v>
      </c>
      <c r="K31" s="14" t="s">
        <v>415</v>
      </c>
    </row>
    <row r="32" customFormat="false" ht="15" hidden="false" customHeight="false" outlineLevel="0" collapsed="false">
      <c r="A32" s="11" t="s">
        <v>417</v>
      </c>
      <c r="B32" s="29" t="n">
        <v>0</v>
      </c>
      <c r="C32" s="29" t="n">
        <v>0</v>
      </c>
      <c r="D32" s="29" t="n">
        <v>0</v>
      </c>
      <c r="E32" s="29" t="n">
        <v>0</v>
      </c>
      <c r="F32" s="29" t="n">
        <v>0</v>
      </c>
      <c r="G32" s="29" t="n">
        <v>0</v>
      </c>
      <c r="H32" s="29" t="n">
        <v>0</v>
      </c>
      <c r="I32" s="10" t="s">
        <v>319</v>
      </c>
      <c r="J32" s="10" t="s">
        <v>323</v>
      </c>
      <c r="K32" s="14" t="s">
        <v>415</v>
      </c>
    </row>
    <row r="33" customFormat="false" ht="15" hidden="false" customHeight="false" outlineLevel="0" collapsed="false">
      <c r="A33" s="11" t="s">
        <v>418</v>
      </c>
      <c r="B33" s="29" t="n">
        <v>0</v>
      </c>
      <c r="C33" s="29" t="n">
        <v>0</v>
      </c>
      <c r="D33" s="29" t="n">
        <v>0</v>
      </c>
      <c r="E33" s="29" t="n">
        <v>0</v>
      </c>
      <c r="F33" s="29" t="n">
        <v>0</v>
      </c>
      <c r="G33" s="29" t="n">
        <v>0</v>
      </c>
      <c r="H33" s="29" t="n">
        <v>800</v>
      </c>
      <c r="I33" s="10" t="s">
        <v>319</v>
      </c>
      <c r="J33" s="10" t="s">
        <v>323</v>
      </c>
      <c r="K33" s="14"/>
    </row>
    <row r="34" customFormat="false" ht="15" hidden="false" customHeight="false" outlineLevel="0" collapsed="false">
      <c r="A34" s="11" t="s">
        <v>419</v>
      </c>
      <c r="B34" s="29" t="n">
        <v>10000000</v>
      </c>
      <c r="C34" s="29" t="n">
        <v>0</v>
      </c>
      <c r="D34" s="29" t="n">
        <v>0</v>
      </c>
      <c r="E34" s="29" t="n">
        <v>0</v>
      </c>
      <c r="F34" s="29" t="n">
        <v>0</v>
      </c>
      <c r="G34" s="29" t="n">
        <v>0</v>
      </c>
      <c r="H34" s="29" t="n">
        <v>0</v>
      </c>
      <c r="I34" s="10" t="s">
        <v>319</v>
      </c>
      <c r="J34" s="10" t="s">
        <v>323</v>
      </c>
      <c r="K34" s="14"/>
    </row>
    <row r="35" customFormat="false" ht="15" hidden="false" customHeight="false" outlineLevel="0" collapsed="false">
      <c r="A35" s="11" t="s">
        <v>420</v>
      </c>
      <c r="B35" s="29" t="n">
        <v>500000</v>
      </c>
      <c r="C35" s="29" t="n">
        <v>0</v>
      </c>
      <c r="D35" s="29" t="n">
        <v>0</v>
      </c>
      <c r="E35" s="29" t="n">
        <v>0</v>
      </c>
      <c r="F35" s="29" t="n">
        <v>0</v>
      </c>
      <c r="G35" s="29" t="n">
        <v>0</v>
      </c>
      <c r="H35" s="29" t="n">
        <v>0</v>
      </c>
      <c r="I35" s="10" t="s">
        <v>319</v>
      </c>
      <c r="J35" s="10" t="s">
        <v>323</v>
      </c>
      <c r="K35" s="14"/>
    </row>
    <row r="36" customFormat="false" ht="15" hidden="false" customHeight="false" outlineLevel="0" collapsed="false">
      <c r="A36" s="11" t="s">
        <v>421</v>
      </c>
      <c r="B36" s="29" t="n">
        <v>0</v>
      </c>
      <c r="C36" s="29" t="n">
        <v>3000000</v>
      </c>
      <c r="D36" s="29" t="n">
        <v>3000000</v>
      </c>
      <c r="E36" s="29" t="n">
        <v>2600000</v>
      </c>
      <c r="F36" s="29" t="n">
        <v>0</v>
      </c>
      <c r="G36" s="29" t="n">
        <v>0</v>
      </c>
      <c r="H36" s="29" t="n">
        <v>0</v>
      </c>
      <c r="I36" s="10" t="s">
        <v>319</v>
      </c>
      <c r="J36" s="10" t="s">
        <v>323</v>
      </c>
      <c r="K36" s="14" t="s">
        <v>422</v>
      </c>
    </row>
    <row r="37" customFormat="false" ht="15" hidden="false" customHeight="false" outlineLevel="0" collapsed="false">
      <c r="A37" s="11" t="s">
        <v>423</v>
      </c>
      <c r="B37" s="29" t="n">
        <v>0</v>
      </c>
      <c r="C37" s="29" t="n">
        <v>0</v>
      </c>
      <c r="D37" s="29" t="n">
        <v>0</v>
      </c>
      <c r="E37" s="29" t="n">
        <v>0</v>
      </c>
      <c r="F37" s="29" t="n">
        <v>0</v>
      </c>
      <c r="G37" s="29" t="n">
        <v>0</v>
      </c>
      <c r="H37" s="29" t="n">
        <v>0</v>
      </c>
      <c r="I37" s="10" t="s">
        <v>319</v>
      </c>
      <c r="J37" s="10" t="s">
        <v>323</v>
      </c>
      <c r="K37" s="14" t="s">
        <v>415</v>
      </c>
    </row>
    <row r="38" customFormat="false" ht="15" hidden="false" customHeight="false" outlineLevel="0" collapsed="false">
      <c r="A38" s="11" t="s">
        <v>424</v>
      </c>
      <c r="B38" s="29" t="n">
        <v>0</v>
      </c>
      <c r="C38" s="29" t="n">
        <v>950000</v>
      </c>
      <c r="D38" s="29" t="n">
        <v>0</v>
      </c>
      <c r="E38" s="29" t="n">
        <v>1900000</v>
      </c>
      <c r="F38" s="29" t="n">
        <v>0</v>
      </c>
      <c r="G38" s="29" t="n">
        <v>0</v>
      </c>
      <c r="H38" s="29" t="n">
        <v>0</v>
      </c>
      <c r="I38" s="10" t="s">
        <v>319</v>
      </c>
      <c r="J38" s="10" t="s">
        <v>319</v>
      </c>
      <c r="K38" s="14" t="s">
        <v>425</v>
      </c>
    </row>
    <row r="39" customFormat="false" ht="15" hidden="false" customHeight="false" outlineLevel="0" collapsed="false">
      <c r="A39" s="11" t="s">
        <v>426</v>
      </c>
      <c r="B39" s="29" t="n">
        <v>0</v>
      </c>
      <c r="C39" s="29" t="n">
        <v>0</v>
      </c>
      <c r="D39" s="29" t="n">
        <v>1400000</v>
      </c>
      <c r="E39" s="29" t="n">
        <v>1900000</v>
      </c>
      <c r="F39" s="29" t="n">
        <v>0</v>
      </c>
      <c r="G39" s="29" t="n">
        <v>0</v>
      </c>
      <c r="H39" s="29" t="n">
        <v>0</v>
      </c>
      <c r="I39" s="10" t="s">
        <v>323</v>
      </c>
      <c r="J39" s="10" t="s">
        <v>323</v>
      </c>
      <c r="K39" s="14"/>
    </row>
    <row r="40" customFormat="false" ht="15" hidden="false" customHeight="false" outlineLevel="0" collapsed="false">
      <c r="A40" s="11" t="s">
        <v>427</v>
      </c>
      <c r="B40" s="29" t="n">
        <v>0</v>
      </c>
      <c r="C40" s="29" t="n">
        <v>200000</v>
      </c>
      <c r="D40" s="29" t="n">
        <v>0</v>
      </c>
      <c r="E40" s="29" t="n">
        <v>0</v>
      </c>
      <c r="F40" s="29" t="n">
        <v>0</v>
      </c>
      <c r="G40" s="29" t="n">
        <v>0</v>
      </c>
      <c r="H40" s="29" t="n">
        <v>0</v>
      </c>
      <c r="I40" s="10" t="s">
        <v>319</v>
      </c>
      <c r="J40" s="10" t="s">
        <v>323</v>
      </c>
      <c r="K40" s="14" t="s">
        <v>428</v>
      </c>
    </row>
    <row r="41" customFormat="false" ht="15" hidden="false" customHeight="false" outlineLevel="0" collapsed="false">
      <c r="A41" s="11" t="s">
        <v>429</v>
      </c>
      <c r="B41" s="29" t="n">
        <v>0</v>
      </c>
      <c r="C41" s="29" t="n">
        <v>0</v>
      </c>
      <c r="D41" s="29" t="n">
        <v>750000</v>
      </c>
      <c r="E41" s="29" t="n">
        <v>750000</v>
      </c>
      <c r="F41" s="29" t="n">
        <v>0</v>
      </c>
      <c r="G41" s="29" t="n">
        <v>0</v>
      </c>
      <c r="H41" s="29" t="n">
        <v>0</v>
      </c>
      <c r="I41" s="10" t="s">
        <v>319</v>
      </c>
      <c r="J41" s="10" t="s">
        <v>323</v>
      </c>
      <c r="K41" s="14" t="s">
        <v>430</v>
      </c>
    </row>
    <row r="42" customFormat="false" ht="15" hidden="false" customHeight="false" outlineLevel="0" collapsed="false">
      <c r="A42" s="11" t="s">
        <v>431</v>
      </c>
      <c r="B42" s="29" t="n">
        <v>0</v>
      </c>
      <c r="C42" s="29" t="n">
        <v>0</v>
      </c>
      <c r="D42" s="29" t="n">
        <v>0</v>
      </c>
      <c r="E42" s="29" t="n">
        <v>0</v>
      </c>
      <c r="F42" s="29" t="n">
        <v>0</v>
      </c>
      <c r="G42" s="29" t="n">
        <v>0</v>
      </c>
      <c r="H42" s="29" t="n">
        <v>500</v>
      </c>
      <c r="I42" s="10" t="s">
        <v>323</v>
      </c>
      <c r="J42" s="10" t="s">
        <v>323</v>
      </c>
      <c r="K42" s="14" t="s">
        <v>432</v>
      </c>
    </row>
    <row r="43" customFormat="false" ht="15" hidden="false" customHeight="false" outlineLevel="0" collapsed="false">
      <c r="A43" s="11" t="s">
        <v>433</v>
      </c>
      <c r="B43" s="29" t="n">
        <v>0</v>
      </c>
      <c r="C43" s="29" t="n">
        <v>0</v>
      </c>
      <c r="D43" s="29" t="n">
        <v>0</v>
      </c>
      <c r="E43" s="29" t="n">
        <v>0</v>
      </c>
      <c r="F43" s="29" t="n">
        <v>0</v>
      </c>
      <c r="G43" s="29" t="n">
        <v>0</v>
      </c>
      <c r="H43" s="29" t="n">
        <v>500</v>
      </c>
      <c r="I43" s="10" t="s">
        <v>323</v>
      </c>
      <c r="J43" s="10" t="s">
        <v>323</v>
      </c>
      <c r="K43" s="14" t="s">
        <v>434</v>
      </c>
    </row>
    <row r="44" customFormat="false" ht="15" hidden="false" customHeight="false" outlineLevel="0" collapsed="false">
      <c r="A44" s="11" t="s">
        <v>435</v>
      </c>
      <c r="B44" s="29" t="n">
        <v>0</v>
      </c>
      <c r="C44" s="29" t="n">
        <v>0</v>
      </c>
      <c r="D44" s="29" t="n">
        <v>0</v>
      </c>
      <c r="E44" s="29" t="n">
        <v>0</v>
      </c>
      <c r="F44" s="29" t="n">
        <v>0</v>
      </c>
      <c r="G44" s="29" t="n">
        <v>0</v>
      </c>
      <c r="H44" s="29" t="n">
        <v>1000</v>
      </c>
      <c r="I44" s="10" t="s">
        <v>323</v>
      </c>
      <c r="J44" s="10" t="s">
        <v>323</v>
      </c>
      <c r="K44" s="14" t="s">
        <v>434</v>
      </c>
    </row>
    <row r="45" customFormat="false" ht="15" hidden="false" customHeight="false" outlineLevel="0" collapsed="false">
      <c r="A45" s="11" t="s">
        <v>436</v>
      </c>
      <c r="B45" s="29" t="n">
        <v>0</v>
      </c>
      <c r="C45" s="29" t="n">
        <v>0</v>
      </c>
      <c r="D45" s="29" t="n">
        <v>0</v>
      </c>
      <c r="E45" s="29" t="n">
        <v>7280000</v>
      </c>
      <c r="F45" s="29" t="n">
        <v>0</v>
      </c>
      <c r="G45" s="29" t="n">
        <v>0</v>
      </c>
      <c r="H45" s="29" t="n">
        <v>0</v>
      </c>
      <c r="I45" s="10" t="s">
        <v>323</v>
      </c>
      <c r="J45" s="10" t="s">
        <v>323</v>
      </c>
      <c r="K45" s="14" t="s">
        <v>437</v>
      </c>
    </row>
    <row r="46" customFormat="false" ht="15" hidden="false" customHeight="false" outlineLevel="0" collapsed="false">
      <c r="A46" s="11" t="s">
        <v>438</v>
      </c>
      <c r="B46" s="29" t="n">
        <v>0</v>
      </c>
      <c r="C46" s="29" t="n">
        <v>0</v>
      </c>
      <c r="D46" s="29" t="n">
        <v>0</v>
      </c>
      <c r="E46" s="29" t="n">
        <v>0</v>
      </c>
      <c r="F46" s="29" t="n">
        <v>0</v>
      </c>
      <c r="G46" s="29" t="n">
        <v>0</v>
      </c>
      <c r="H46" s="29" t="n">
        <v>0</v>
      </c>
      <c r="I46" s="10" t="s">
        <v>319</v>
      </c>
      <c r="J46" s="10" t="s">
        <v>323</v>
      </c>
      <c r="K46" s="14" t="s">
        <v>439</v>
      </c>
    </row>
    <row r="47" customFormat="false" ht="15" hidden="false" customHeight="false" outlineLevel="0" collapsed="false">
      <c r="A47" s="11" t="s">
        <v>440</v>
      </c>
      <c r="B47" s="29" t="n">
        <v>900000</v>
      </c>
      <c r="C47" s="29" t="n">
        <v>0</v>
      </c>
      <c r="D47" s="29" t="n">
        <v>0</v>
      </c>
      <c r="E47" s="29" t="n">
        <v>0</v>
      </c>
      <c r="F47" s="29" t="n">
        <v>0</v>
      </c>
      <c r="G47" s="29" t="n">
        <v>0</v>
      </c>
      <c r="H47" s="29" t="n">
        <v>0</v>
      </c>
      <c r="I47" s="10" t="s">
        <v>323</v>
      </c>
      <c r="J47" s="10" t="s">
        <v>323</v>
      </c>
      <c r="K47" s="14" t="s">
        <v>441</v>
      </c>
    </row>
    <row r="48" customFormat="false" ht="15" hidden="false" customHeight="false" outlineLevel="0" collapsed="false">
      <c r="A48" s="11" t="s">
        <v>442</v>
      </c>
      <c r="B48" s="29" t="n">
        <v>0</v>
      </c>
      <c r="C48" s="29" t="n">
        <v>0</v>
      </c>
      <c r="D48" s="29" t="n">
        <v>0</v>
      </c>
      <c r="E48" s="29" t="n">
        <v>0</v>
      </c>
      <c r="F48" s="29" t="n">
        <v>0</v>
      </c>
      <c r="G48" s="29" t="n">
        <v>30</v>
      </c>
      <c r="H48" s="29" t="n">
        <v>90</v>
      </c>
      <c r="I48" s="10" t="s">
        <v>323</v>
      </c>
      <c r="J48" s="10" t="s">
        <v>323</v>
      </c>
      <c r="K48" s="14" t="s">
        <v>443</v>
      </c>
    </row>
    <row r="49" customFormat="false" ht="15" hidden="false" customHeight="false" outlineLevel="0" collapsed="false">
      <c r="A49" s="11" t="s">
        <v>444</v>
      </c>
      <c r="B49" s="29" t="s">
        <v>396</v>
      </c>
      <c r="C49" s="29" t="s">
        <v>424</v>
      </c>
      <c r="D49" s="29" t="s">
        <v>394</v>
      </c>
      <c r="E49" s="29" t="n">
        <v>3300000</v>
      </c>
      <c r="F49" s="29" t="n">
        <v>0</v>
      </c>
      <c r="G49" s="29" t="n">
        <v>0</v>
      </c>
      <c r="H49" s="29" t="n">
        <v>0</v>
      </c>
      <c r="I49" s="10" t="n">
        <v>0</v>
      </c>
      <c r="J49" s="10" t="s">
        <v>319</v>
      </c>
      <c r="K49" s="14" t="n">
        <v>0</v>
      </c>
    </row>
    <row r="50" customFormat="false" ht="15" hidden="false" customHeight="false" outlineLevel="0" collapsed="false">
      <c r="A50" s="11" t="s">
        <v>445</v>
      </c>
      <c r="B50" s="29" t="n">
        <v>3300000</v>
      </c>
      <c r="C50" s="29" t="n">
        <v>0</v>
      </c>
      <c r="D50" s="29" t="n">
        <v>0</v>
      </c>
      <c r="E50" s="29" t="n">
        <v>0</v>
      </c>
      <c r="F50" s="29" t="n">
        <v>0</v>
      </c>
      <c r="G50" s="29" t="n">
        <v>0</v>
      </c>
      <c r="H50" s="29" t="n">
        <v>0</v>
      </c>
      <c r="I50" s="10" t="s">
        <v>319</v>
      </c>
      <c r="J50" s="10" t="s">
        <v>319</v>
      </c>
      <c r="K50" s="14" t="s">
        <v>446</v>
      </c>
    </row>
    <row r="51" customFormat="false" ht="15" hidden="false" customHeight="false" outlineLevel="0" collapsed="false">
      <c r="A51" s="11" t="s">
        <v>447</v>
      </c>
      <c r="B51" s="29" t="n">
        <v>0</v>
      </c>
      <c r="C51" s="29" t="n">
        <v>250000</v>
      </c>
      <c r="D51" s="29" t="n">
        <v>0</v>
      </c>
      <c r="E51" s="29" t="n">
        <v>0</v>
      </c>
      <c r="F51" s="29" t="n">
        <v>0</v>
      </c>
      <c r="G51" s="29" t="n">
        <v>0</v>
      </c>
      <c r="H51" s="29" t="n">
        <v>0</v>
      </c>
      <c r="I51" s="10" t="s">
        <v>319</v>
      </c>
      <c r="J51" s="10" t="s">
        <v>323</v>
      </c>
      <c r="K51" s="14" t="s">
        <v>448</v>
      </c>
    </row>
    <row r="52" customFormat="false" ht="15" hidden="false" customHeight="false" outlineLevel="0" collapsed="false">
      <c r="A52" s="11" t="s">
        <v>449</v>
      </c>
      <c r="B52" s="29" t="n">
        <v>0</v>
      </c>
      <c r="C52" s="29" t="n">
        <v>0</v>
      </c>
      <c r="D52" s="29" t="n">
        <v>0</v>
      </c>
      <c r="E52" s="29" t="n">
        <v>0</v>
      </c>
      <c r="F52" s="29" t="n">
        <v>0</v>
      </c>
      <c r="G52" s="29" t="n">
        <v>0</v>
      </c>
      <c r="H52" s="29" t="n">
        <v>0</v>
      </c>
      <c r="I52" s="10" t="s">
        <v>319</v>
      </c>
      <c r="J52" s="10" t="s">
        <v>323</v>
      </c>
      <c r="K52" s="14" t="s">
        <v>450</v>
      </c>
    </row>
    <row r="53" customFormat="false" ht="15" hidden="false" customHeight="false" outlineLevel="0" collapsed="false">
      <c r="A53" s="11" t="s">
        <v>451</v>
      </c>
      <c r="B53" s="29" t="n">
        <v>0</v>
      </c>
      <c r="C53" s="29" t="n">
        <v>0</v>
      </c>
      <c r="D53" s="29" t="n">
        <v>136000</v>
      </c>
      <c r="E53" s="29" t="n">
        <v>136000</v>
      </c>
      <c r="F53" s="29" t="n">
        <v>0</v>
      </c>
      <c r="G53" s="29" t="n">
        <v>0</v>
      </c>
      <c r="H53" s="29" t="n">
        <v>0</v>
      </c>
      <c r="I53" s="10" t="s">
        <v>319</v>
      </c>
      <c r="J53" s="10" t="s">
        <v>323</v>
      </c>
      <c r="K53" s="14" t="s">
        <v>452</v>
      </c>
    </row>
    <row r="54" customFormat="false" ht="15" hidden="false" customHeight="false" outlineLevel="0" collapsed="false">
      <c r="A54" s="11" t="s">
        <v>453</v>
      </c>
      <c r="B54" s="29" t="n">
        <v>750000</v>
      </c>
      <c r="C54" s="29" t="n">
        <v>0</v>
      </c>
      <c r="D54" s="29" t="n">
        <v>0</v>
      </c>
      <c r="E54" s="29" t="n">
        <v>0</v>
      </c>
      <c r="F54" s="29" t="n">
        <v>0</v>
      </c>
      <c r="G54" s="29" t="n">
        <v>0</v>
      </c>
      <c r="H54" s="29" t="n">
        <v>0</v>
      </c>
      <c r="I54" s="10" t="s">
        <v>319</v>
      </c>
      <c r="J54" s="10" t="s">
        <v>323</v>
      </c>
      <c r="K54" s="14" t="s">
        <v>454</v>
      </c>
    </row>
    <row r="55" customFormat="false" ht="15" hidden="false" customHeight="false" outlineLevel="0" collapsed="false">
      <c r="A55" s="11" t="s">
        <v>455</v>
      </c>
      <c r="B55" s="29" t="n">
        <v>750000</v>
      </c>
      <c r="C55" s="29" t="n">
        <v>0</v>
      </c>
      <c r="D55" s="29" t="n">
        <v>0</v>
      </c>
      <c r="E55" s="29" t="n">
        <v>0</v>
      </c>
      <c r="F55" s="29" t="n">
        <v>0</v>
      </c>
      <c r="G55" s="29" t="n">
        <v>0</v>
      </c>
      <c r="H55" s="29" t="n">
        <v>0</v>
      </c>
      <c r="I55" s="10" t="s">
        <v>319</v>
      </c>
      <c r="J55" s="10" t="s">
        <v>323</v>
      </c>
      <c r="K55" s="14" t="s">
        <v>456</v>
      </c>
    </row>
    <row r="56" customFormat="false" ht="15" hidden="false" customHeight="false" outlineLevel="0" collapsed="false">
      <c r="A56" s="11" t="s">
        <v>457</v>
      </c>
      <c r="B56" s="29" t="n">
        <v>750000</v>
      </c>
      <c r="C56" s="29" t="n">
        <v>0</v>
      </c>
      <c r="D56" s="29" t="n">
        <v>0</v>
      </c>
      <c r="E56" s="29" t="n">
        <v>0</v>
      </c>
      <c r="F56" s="29" t="n">
        <v>0</v>
      </c>
      <c r="G56" s="29" t="n">
        <v>0</v>
      </c>
      <c r="H56" s="29" t="n">
        <v>0</v>
      </c>
      <c r="I56" s="10" t="s">
        <v>319</v>
      </c>
      <c r="J56" s="10" t="s">
        <v>323</v>
      </c>
      <c r="K56" s="14" t="s">
        <v>456</v>
      </c>
    </row>
    <row r="57" customFormat="false" ht="15" hidden="false" customHeight="false" outlineLevel="0" collapsed="false">
      <c r="A57" s="11" t="s">
        <v>458</v>
      </c>
      <c r="B57" s="29" t="n">
        <v>750000</v>
      </c>
      <c r="C57" s="29" t="n">
        <v>0</v>
      </c>
      <c r="D57" s="29" t="n">
        <v>0</v>
      </c>
      <c r="E57" s="29" t="n">
        <v>0</v>
      </c>
      <c r="F57" s="29" t="n">
        <v>0</v>
      </c>
      <c r="G57" s="29" t="n">
        <v>0</v>
      </c>
      <c r="H57" s="29" t="n">
        <v>0</v>
      </c>
      <c r="I57" s="10" t="s">
        <v>319</v>
      </c>
      <c r="J57" s="10" t="s">
        <v>323</v>
      </c>
      <c r="K57" s="14" t="s">
        <v>456</v>
      </c>
    </row>
    <row r="58" customFormat="false" ht="15" hidden="false" customHeight="false" outlineLevel="0" collapsed="false">
      <c r="A58" s="11" t="s">
        <v>459</v>
      </c>
      <c r="B58" s="29" t="n">
        <v>750000</v>
      </c>
      <c r="C58" s="29" t="n">
        <v>0</v>
      </c>
      <c r="D58" s="29" t="n">
        <v>0</v>
      </c>
      <c r="E58" s="29" t="n">
        <v>0</v>
      </c>
      <c r="F58" s="29" t="n">
        <v>0</v>
      </c>
      <c r="G58" s="29" t="n">
        <v>0</v>
      </c>
      <c r="H58" s="29" t="n">
        <v>0</v>
      </c>
      <c r="I58" s="10" t="s">
        <v>319</v>
      </c>
      <c r="J58" s="10" t="s">
        <v>323</v>
      </c>
      <c r="K58" s="14" t="s">
        <v>456</v>
      </c>
    </row>
    <row r="59" customFormat="false" ht="15" hidden="false" customHeight="false" outlineLevel="0" collapsed="false">
      <c r="A59" s="11" t="s">
        <v>460</v>
      </c>
      <c r="B59" s="29" t="n">
        <v>750000</v>
      </c>
      <c r="C59" s="29" t="n">
        <v>0</v>
      </c>
      <c r="D59" s="29" t="n">
        <v>0</v>
      </c>
      <c r="E59" s="29" t="n">
        <v>0</v>
      </c>
      <c r="F59" s="29" t="n">
        <v>0</v>
      </c>
      <c r="G59" s="29" t="n">
        <v>0</v>
      </c>
      <c r="H59" s="29" t="n">
        <v>0</v>
      </c>
      <c r="I59" s="10" t="s">
        <v>319</v>
      </c>
      <c r="J59" s="10" t="s">
        <v>323</v>
      </c>
      <c r="K59" s="14" t="s">
        <v>456</v>
      </c>
    </row>
    <row r="60" customFormat="false" ht="15" hidden="false" customHeight="false" outlineLevel="0" collapsed="false">
      <c r="A60" s="11" t="s">
        <v>461</v>
      </c>
      <c r="B60" s="29" t="n">
        <v>750000</v>
      </c>
      <c r="C60" s="29" t="n">
        <v>0</v>
      </c>
      <c r="D60" s="29" t="n">
        <v>0</v>
      </c>
      <c r="E60" s="29" t="n">
        <v>0</v>
      </c>
      <c r="F60" s="29" t="n">
        <v>0</v>
      </c>
      <c r="G60" s="29" t="n">
        <v>0</v>
      </c>
      <c r="H60" s="29" t="n">
        <v>0</v>
      </c>
      <c r="I60" s="10" t="s">
        <v>319</v>
      </c>
      <c r="J60" s="10" t="s">
        <v>323</v>
      </c>
      <c r="K60" s="14" t="s">
        <v>456</v>
      </c>
    </row>
    <row r="61" customFormat="false" ht="15" hidden="false" customHeight="false" outlineLevel="0" collapsed="false">
      <c r="A61" s="11" t="s">
        <v>462</v>
      </c>
      <c r="B61" s="29" t="n">
        <v>750000</v>
      </c>
      <c r="C61" s="29" t="n">
        <v>0</v>
      </c>
      <c r="D61" s="29" t="n">
        <v>0</v>
      </c>
      <c r="E61" s="29" t="n">
        <v>0</v>
      </c>
      <c r="F61" s="29" t="n">
        <v>0</v>
      </c>
      <c r="G61" s="29" t="n">
        <v>0</v>
      </c>
      <c r="H61" s="29" t="n">
        <v>0</v>
      </c>
      <c r="I61" s="10" t="s">
        <v>319</v>
      </c>
      <c r="J61" s="10" t="s">
        <v>323</v>
      </c>
      <c r="K61" s="14" t="s">
        <v>456</v>
      </c>
    </row>
    <row r="62" customFormat="false" ht="15" hidden="false" customHeight="false" outlineLevel="0" collapsed="false">
      <c r="A62" s="11" t="s">
        <v>463</v>
      </c>
      <c r="B62" s="29" t="n">
        <v>0</v>
      </c>
      <c r="C62" s="29" t="n">
        <v>250000</v>
      </c>
      <c r="D62" s="29" t="n">
        <v>0</v>
      </c>
      <c r="E62" s="29" t="n">
        <v>0</v>
      </c>
      <c r="F62" s="29" t="n">
        <v>0</v>
      </c>
      <c r="G62" s="29" t="n">
        <v>0</v>
      </c>
      <c r="H62" s="29" t="n">
        <v>0</v>
      </c>
      <c r="I62" s="10" t="s">
        <v>319</v>
      </c>
      <c r="J62" s="10" t="s">
        <v>323</v>
      </c>
      <c r="K62" s="14" t="s">
        <v>464</v>
      </c>
    </row>
    <row r="63" customFormat="false" ht="15" hidden="false" customHeight="false" outlineLevel="0" collapsed="false">
      <c r="A63" s="11" t="s">
        <v>465</v>
      </c>
      <c r="B63" s="29" t="n">
        <v>0</v>
      </c>
      <c r="C63" s="29" t="n">
        <v>0</v>
      </c>
      <c r="D63" s="29" t="n">
        <v>0</v>
      </c>
      <c r="E63" s="29" t="n">
        <v>0</v>
      </c>
      <c r="F63" s="29" t="n">
        <v>0</v>
      </c>
      <c r="G63" s="29" t="n">
        <v>0</v>
      </c>
      <c r="H63" s="29" t="n">
        <v>0</v>
      </c>
      <c r="I63" s="10" t="s">
        <v>319</v>
      </c>
      <c r="J63" s="10" t="s">
        <v>323</v>
      </c>
      <c r="K63" s="14" t="s">
        <v>466</v>
      </c>
    </row>
    <row r="64" customFormat="false" ht="15" hidden="false" customHeight="false" outlineLevel="0" collapsed="false">
      <c r="A64" s="11" t="s">
        <v>467</v>
      </c>
      <c r="B64" s="29" t="n">
        <v>178025</v>
      </c>
      <c r="C64" s="29" t="n">
        <v>0</v>
      </c>
      <c r="D64" s="29" t="n">
        <v>0</v>
      </c>
      <c r="E64" s="29" t="n">
        <v>0</v>
      </c>
      <c r="F64" s="29" t="n">
        <v>10</v>
      </c>
      <c r="G64" s="29" t="n">
        <v>92</v>
      </c>
      <c r="H64" s="29" t="n">
        <v>0</v>
      </c>
      <c r="I64" s="10" t="s">
        <v>319</v>
      </c>
      <c r="J64" s="10" t="s">
        <v>319</v>
      </c>
      <c r="K64" s="14" t="s">
        <v>468</v>
      </c>
    </row>
    <row r="65" customFormat="false" ht="15" hidden="false" customHeight="false" outlineLevel="0" collapsed="false">
      <c r="A65" s="11" t="s">
        <v>469</v>
      </c>
      <c r="B65" s="29" t="n">
        <v>120000</v>
      </c>
      <c r="C65" s="29" t="n">
        <v>0</v>
      </c>
      <c r="D65" s="29" t="n">
        <v>0</v>
      </c>
      <c r="E65" s="29" t="n">
        <v>0</v>
      </c>
      <c r="F65" s="29" t="n">
        <v>0</v>
      </c>
      <c r="G65" s="29" t="n">
        <v>64</v>
      </c>
      <c r="H65" s="29" t="n">
        <v>0</v>
      </c>
      <c r="I65" s="10" t="s">
        <v>319</v>
      </c>
      <c r="J65" s="10" t="s">
        <v>319</v>
      </c>
      <c r="K65" s="14" t="s">
        <v>470</v>
      </c>
    </row>
    <row r="66" customFormat="false" ht="15" hidden="false" customHeight="false" outlineLevel="0" collapsed="false">
      <c r="A66" s="11" t="s">
        <v>471</v>
      </c>
      <c r="B66" s="29" t="n">
        <v>375000</v>
      </c>
      <c r="C66" s="29" t="n">
        <v>0</v>
      </c>
      <c r="D66" s="29" t="n">
        <v>0</v>
      </c>
      <c r="E66" s="29" t="n">
        <v>0</v>
      </c>
      <c r="F66" s="29" t="n">
        <v>0</v>
      </c>
      <c r="G66" s="29" t="n">
        <v>0</v>
      </c>
      <c r="H66" s="29" t="n">
        <v>0</v>
      </c>
      <c r="I66" s="10" t="s">
        <v>323</v>
      </c>
      <c r="J66" s="10" t="s">
        <v>323</v>
      </c>
      <c r="K66" s="14" t="s">
        <v>472</v>
      </c>
    </row>
    <row r="67" customFormat="false" ht="15" hidden="false" customHeight="false" outlineLevel="0" collapsed="false">
      <c r="A67" s="11"/>
      <c r="B67" s="29"/>
      <c r="C67" s="29"/>
      <c r="D67" s="29"/>
      <c r="E67" s="29"/>
      <c r="F67" s="29"/>
      <c r="G67" s="29"/>
      <c r="H67" s="29"/>
      <c r="I67" s="10"/>
      <c r="J67" s="10"/>
      <c r="K67" s="11"/>
    </row>
    <row r="68" customFormat="false" ht="15" hidden="false" customHeight="false" outlineLevel="0" collapsed="false">
      <c r="A68" s="11"/>
      <c r="B68" s="29"/>
      <c r="C68" s="29"/>
      <c r="D68" s="29"/>
      <c r="E68" s="29"/>
      <c r="F68" s="29"/>
      <c r="G68" s="29"/>
      <c r="H68" s="29"/>
      <c r="I68" s="10"/>
      <c r="J68" s="10"/>
      <c r="K68" s="11"/>
    </row>
    <row r="69" customFormat="false" ht="15" hidden="false" customHeight="false" outlineLevel="0" collapsed="false">
      <c r="A69" s="11"/>
      <c r="B69" s="29"/>
      <c r="C69" s="29"/>
      <c r="D69" s="29"/>
      <c r="E69" s="29"/>
      <c r="F69" s="29"/>
      <c r="G69" s="29"/>
      <c r="H69" s="29"/>
      <c r="I69" s="10"/>
      <c r="J69" s="10"/>
      <c r="K69" s="11"/>
    </row>
    <row r="70" customFormat="false" ht="15" hidden="false" customHeight="false" outlineLevel="0" collapsed="false">
      <c r="A70" s="11"/>
      <c r="B70" s="29"/>
      <c r="C70" s="29"/>
      <c r="D70" s="29"/>
      <c r="E70" s="29"/>
      <c r="F70" s="29"/>
      <c r="G70" s="29"/>
      <c r="H70" s="29"/>
      <c r="I70" s="10"/>
      <c r="J70" s="10"/>
      <c r="K70" s="11"/>
    </row>
    <row r="71" customFormat="false" ht="15" hidden="false" customHeight="false" outlineLevel="0" collapsed="false">
      <c r="A71" s="11"/>
      <c r="B71" s="29"/>
      <c r="C71" s="29"/>
      <c r="D71" s="29"/>
      <c r="E71" s="29"/>
      <c r="F71" s="29"/>
      <c r="G71" s="29"/>
      <c r="H71" s="29"/>
      <c r="I71" s="10"/>
      <c r="J71" s="10"/>
      <c r="K71" s="11"/>
    </row>
    <row r="72" customFormat="false" ht="15" hidden="false" customHeight="false" outlineLevel="0" collapsed="false">
      <c r="A72" s="11"/>
      <c r="B72" s="29"/>
      <c r="C72" s="29"/>
      <c r="D72" s="29"/>
      <c r="E72" s="29"/>
      <c r="F72" s="29"/>
      <c r="G72" s="29"/>
      <c r="H72" s="29"/>
      <c r="I72" s="10"/>
      <c r="J72" s="10"/>
      <c r="K72" s="11"/>
    </row>
    <row r="73" customFormat="false" ht="15" hidden="false" customHeight="false" outlineLevel="0" collapsed="false">
      <c r="A73" s="11"/>
      <c r="B73" s="29"/>
      <c r="C73" s="29"/>
      <c r="D73" s="29"/>
      <c r="E73" s="29"/>
      <c r="F73" s="29"/>
      <c r="G73" s="29"/>
      <c r="H73" s="29"/>
      <c r="I73" s="10"/>
      <c r="J73" s="10"/>
      <c r="K73" s="11"/>
    </row>
    <row r="74" customFormat="false" ht="15" hidden="false" customHeight="false" outlineLevel="0" collapsed="false">
      <c r="A74" s="11"/>
      <c r="B74" s="29"/>
      <c r="C74" s="29"/>
      <c r="D74" s="29"/>
      <c r="E74" s="29"/>
      <c r="F74" s="29"/>
      <c r="G74" s="29"/>
      <c r="H74" s="29"/>
      <c r="I74" s="10"/>
      <c r="J74" s="10"/>
      <c r="K74" s="11"/>
    </row>
    <row r="75" customFormat="false" ht="15" hidden="false" customHeight="false" outlineLevel="0" collapsed="false">
      <c r="A75" s="11"/>
      <c r="B75" s="29"/>
      <c r="C75" s="29"/>
      <c r="D75" s="29"/>
      <c r="E75" s="29"/>
      <c r="F75" s="29"/>
      <c r="G75" s="29"/>
      <c r="H75" s="29"/>
      <c r="I75" s="10"/>
      <c r="J75" s="10"/>
      <c r="K75" s="11"/>
    </row>
    <row r="76" customFormat="false" ht="15" hidden="false" customHeight="false" outlineLevel="0" collapsed="false">
      <c r="A76" s="11"/>
      <c r="B76" s="29"/>
      <c r="C76" s="29"/>
      <c r="D76" s="29"/>
      <c r="E76" s="29"/>
      <c r="F76" s="29"/>
      <c r="G76" s="29"/>
      <c r="H76" s="29"/>
      <c r="I76" s="10"/>
      <c r="J76" s="10"/>
      <c r="K76" s="11"/>
    </row>
    <row r="78" customFormat="false" ht="15" hidden="false" customHeight="false" outlineLevel="0" collapsed="false">
      <c r="A78" s="22" t="s">
        <v>473</v>
      </c>
    </row>
    <row r="79" customFormat="false" ht="26.85" hidden="false" customHeight="false" outlineLevel="0" collapsed="false">
      <c r="A79" s="3" t="s">
        <v>474</v>
      </c>
      <c r="B79" s="3" t="s">
        <v>377</v>
      </c>
      <c r="C79" s="3" t="s">
        <v>378</v>
      </c>
      <c r="D79" s="3" t="s">
        <v>379</v>
      </c>
      <c r="E79" s="3" t="s">
        <v>380</v>
      </c>
      <c r="F79" s="3" t="s">
        <v>381</v>
      </c>
      <c r="G79" s="3" t="s">
        <v>382</v>
      </c>
      <c r="H79" s="3" t="s">
        <v>383</v>
      </c>
      <c r="I79" s="3" t="s">
        <v>10</v>
      </c>
      <c r="J79" s="3" t="s">
        <v>12</v>
      </c>
      <c r="K79" s="3" t="s">
        <v>13</v>
      </c>
    </row>
    <row r="80" customFormat="false" ht="15" hidden="false" customHeight="false" outlineLevel="0" collapsed="false">
      <c r="A80" s="11" t="s">
        <v>475</v>
      </c>
      <c r="B80" s="29" t="n">
        <v>1837500</v>
      </c>
      <c r="C80" s="29" t="n">
        <v>0</v>
      </c>
      <c r="D80" s="29" t="n">
        <v>0</v>
      </c>
      <c r="E80" s="29" t="n">
        <v>0</v>
      </c>
      <c r="F80" s="29" t="n">
        <v>2</v>
      </c>
      <c r="G80" s="29" t="n">
        <v>1</v>
      </c>
      <c r="H80" s="29" t="n">
        <v>183</v>
      </c>
      <c r="I80" s="29" t="n">
        <v>0</v>
      </c>
      <c r="J80" s="10" t="s">
        <v>476</v>
      </c>
      <c r="K80" s="14" t="s">
        <v>477</v>
      </c>
    </row>
    <row r="81" customFormat="false" ht="15" hidden="false" customHeight="false" outlineLevel="0" collapsed="false">
      <c r="A81" s="11" t="s">
        <v>478</v>
      </c>
      <c r="B81" s="29" t="n">
        <v>0</v>
      </c>
      <c r="C81" s="29" t="n">
        <v>359800</v>
      </c>
      <c r="D81" s="29" t="n">
        <v>0</v>
      </c>
      <c r="E81" s="29" t="n">
        <v>0</v>
      </c>
      <c r="F81" s="29" t="n">
        <v>0</v>
      </c>
      <c r="G81" s="29" t="n">
        <v>0</v>
      </c>
      <c r="H81" s="29" t="n">
        <v>0</v>
      </c>
      <c r="I81" s="29" t="n">
        <v>0</v>
      </c>
      <c r="J81" s="10" t="s">
        <v>476</v>
      </c>
      <c r="K81" s="14"/>
    </row>
    <row r="82" customFormat="false" ht="15" hidden="false" customHeight="false" outlineLevel="0" collapsed="false">
      <c r="A82" s="11" t="s">
        <v>479</v>
      </c>
      <c r="B82" s="29" t="n">
        <v>9791250</v>
      </c>
      <c r="C82" s="29" t="n">
        <v>0</v>
      </c>
      <c r="D82" s="29" t="n">
        <v>0</v>
      </c>
      <c r="E82" s="29" t="n">
        <v>0</v>
      </c>
      <c r="F82" s="29" t="n">
        <v>1</v>
      </c>
      <c r="G82" s="29" t="n">
        <v>0</v>
      </c>
      <c r="H82" s="29" t="n">
        <v>979</v>
      </c>
      <c r="I82" s="29" t="n">
        <v>55000000</v>
      </c>
      <c r="J82" s="10" t="s">
        <v>476</v>
      </c>
      <c r="K82" s="14" t="s">
        <v>480</v>
      </c>
    </row>
    <row r="83" customFormat="false" ht="15" hidden="false" customHeight="false" outlineLevel="0" collapsed="false">
      <c r="A83" s="11" t="s">
        <v>481</v>
      </c>
      <c r="B83" s="29" t="n">
        <v>0</v>
      </c>
      <c r="C83" s="29" t="n">
        <v>359800</v>
      </c>
      <c r="D83" s="29" t="n">
        <v>0</v>
      </c>
      <c r="E83" s="29" t="n">
        <v>0</v>
      </c>
      <c r="F83" s="29" t="n">
        <v>0</v>
      </c>
      <c r="G83" s="29" t="n">
        <v>0</v>
      </c>
      <c r="H83" s="29" t="n">
        <v>0</v>
      </c>
      <c r="I83" s="29" t="n">
        <v>0</v>
      </c>
      <c r="J83" s="10" t="s">
        <v>476</v>
      </c>
      <c r="K83" s="14" t="s">
        <v>480</v>
      </c>
    </row>
    <row r="84" customFormat="false" ht="15" hidden="false" customHeight="false" outlineLevel="0" collapsed="false">
      <c r="A84" s="11" t="s">
        <v>482</v>
      </c>
      <c r="B84" s="26"/>
      <c r="C84" s="29" t="n">
        <v>0</v>
      </c>
      <c r="D84" s="29" t="n">
        <v>0</v>
      </c>
      <c r="E84" s="29" t="n">
        <v>0</v>
      </c>
      <c r="F84" s="26"/>
      <c r="G84" s="26"/>
      <c r="H84" s="26"/>
      <c r="I84" s="29" t="n">
        <v>3000000</v>
      </c>
      <c r="J84" s="10" t="s">
        <v>483</v>
      </c>
      <c r="K84" s="14" t="s">
        <v>484</v>
      </c>
    </row>
    <row r="85" customFormat="false" ht="15" hidden="false" customHeight="false" outlineLevel="0" collapsed="false">
      <c r="A85" s="11" t="s">
        <v>485</v>
      </c>
      <c r="B85" s="26"/>
      <c r="C85" s="29" t="n">
        <v>0</v>
      </c>
      <c r="D85" s="29" t="n">
        <v>0</v>
      </c>
      <c r="E85" s="29" t="n">
        <v>0</v>
      </c>
      <c r="F85" s="26"/>
      <c r="G85" s="26"/>
      <c r="H85" s="26"/>
      <c r="I85" s="29" t="n">
        <v>3000000</v>
      </c>
      <c r="J85" s="10" t="s">
        <v>486</v>
      </c>
      <c r="K85" s="14" t="s">
        <v>487</v>
      </c>
    </row>
    <row r="86" customFormat="false" ht="15" hidden="false" customHeight="false" outlineLevel="0" collapsed="false">
      <c r="A86" s="11" t="s">
        <v>488</v>
      </c>
      <c r="B86" s="29" t="n">
        <v>1650010</v>
      </c>
      <c r="C86" s="29" t="n">
        <v>0</v>
      </c>
      <c r="D86" s="29" t="n">
        <v>0</v>
      </c>
      <c r="E86" s="29" t="n">
        <v>0</v>
      </c>
      <c r="F86" s="29" t="n">
        <v>3</v>
      </c>
      <c r="G86" s="29" t="n">
        <v>1</v>
      </c>
      <c r="H86" s="29" t="n">
        <v>164</v>
      </c>
      <c r="I86" s="29" t="n">
        <v>3000000</v>
      </c>
      <c r="J86" s="10" t="s">
        <v>476</v>
      </c>
      <c r="K86" s="14" t="s">
        <v>489</v>
      </c>
    </row>
    <row r="87" customFormat="false" ht="15" hidden="false" customHeight="false" outlineLevel="0" collapsed="false">
      <c r="A87" s="11" t="s">
        <v>490</v>
      </c>
      <c r="B87" s="29" t="n">
        <v>1650000</v>
      </c>
      <c r="C87" s="29" t="n">
        <v>0</v>
      </c>
      <c r="D87" s="29" t="n">
        <v>0</v>
      </c>
      <c r="E87" s="29" t="n">
        <v>0</v>
      </c>
      <c r="F87" s="29" t="n">
        <v>3</v>
      </c>
      <c r="G87" s="29" t="n">
        <v>1</v>
      </c>
      <c r="H87" s="29" t="n">
        <v>164</v>
      </c>
      <c r="I87" s="29" t="n">
        <v>3000000</v>
      </c>
      <c r="J87" s="10" t="s">
        <v>476</v>
      </c>
      <c r="K87" s="14" t="s">
        <v>491</v>
      </c>
    </row>
    <row r="88" customFormat="false" ht="15" hidden="false" customHeight="false" outlineLevel="0" collapsed="false">
      <c r="A88" s="11" t="s">
        <v>492</v>
      </c>
      <c r="B88" s="29" t="n">
        <v>1650000</v>
      </c>
      <c r="C88" s="29" t="n">
        <v>0</v>
      </c>
      <c r="D88" s="29" t="n">
        <v>0</v>
      </c>
      <c r="E88" s="29" t="n">
        <v>0</v>
      </c>
      <c r="F88" s="29" t="n">
        <v>3</v>
      </c>
      <c r="G88" s="29" t="n">
        <v>1</v>
      </c>
      <c r="H88" s="29" t="n">
        <v>164</v>
      </c>
      <c r="I88" s="29" t="n">
        <v>3000000</v>
      </c>
      <c r="J88" s="10" t="s">
        <v>493</v>
      </c>
      <c r="K88" s="14" t="s">
        <v>494</v>
      </c>
    </row>
    <row r="89" customFormat="false" ht="15" hidden="false" customHeight="false" outlineLevel="0" collapsed="false">
      <c r="A89" s="11" t="s">
        <v>495</v>
      </c>
      <c r="B89" s="26"/>
      <c r="C89" s="29" t="n">
        <v>0</v>
      </c>
      <c r="D89" s="29" t="n">
        <v>0</v>
      </c>
      <c r="E89" s="29" t="n">
        <v>0</v>
      </c>
      <c r="F89" s="29" t="n">
        <v>0</v>
      </c>
      <c r="G89" s="29" t="n">
        <v>0</v>
      </c>
      <c r="H89" s="29" t="n">
        <v>0</v>
      </c>
      <c r="I89" s="29" t="n">
        <v>17000000</v>
      </c>
      <c r="J89" s="10" t="s">
        <v>486</v>
      </c>
      <c r="K89" s="14" t="s">
        <v>496</v>
      </c>
    </row>
    <row r="90" customFormat="false" ht="15" hidden="false" customHeight="false" outlineLevel="0" collapsed="false">
      <c r="A90" s="11" t="s">
        <v>497</v>
      </c>
      <c r="B90" s="29" t="n">
        <v>0</v>
      </c>
      <c r="C90" s="29" t="n">
        <v>1710500</v>
      </c>
      <c r="D90" s="29" t="n">
        <v>1710000</v>
      </c>
      <c r="E90" s="29" t="n">
        <v>2640000</v>
      </c>
      <c r="F90" s="29" t="n">
        <v>0</v>
      </c>
      <c r="G90" s="29" t="n">
        <v>0</v>
      </c>
      <c r="H90" s="29" t="n">
        <v>0</v>
      </c>
      <c r="I90" s="29" t="n">
        <v>17000000</v>
      </c>
      <c r="J90" s="10" t="s">
        <v>476</v>
      </c>
      <c r="K90" s="14" t="s">
        <v>498</v>
      </c>
    </row>
    <row r="91" customFormat="false" ht="15" hidden="false" customHeight="false" outlineLevel="0" collapsed="false">
      <c r="A91" s="11" t="s">
        <v>499</v>
      </c>
      <c r="B91" s="29" t="n">
        <v>0</v>
      </c>
      <c r="C91" s="29" t="n">
        <v>1370000</v>
      </c>
      <c r="D91" s="29" t="n">
        <v>1370000</v>
      </c>
      <c r="E91" s="29" t="n">
        <v>2130000</v>
      </c>
      <c r="F91" s="29" t="n">
        <v>0</v>
      </c>
      <c r="G91" s="29" t="n">
        <v>0</v>
      </c>
      <c r="H91" s="29" t="n">
        <v>0</v>
      </c>
      <c r="I91" s="29" t="n">
        <v>17000000</v>
      </c>
      <c r="J91" s="10" t="s">
        <v>476</v>
      </c>
      <c r="K91" s="14" t="s">
        <v>500</v>
      </c>
    </row>
    <row r="92" customFormat="false" ht="15" hidden="false" customHeight="false" outlineLevel="0" collapsed="false">
      <c r="A92" s="11" t="s">
        <v>501</v>
      </c>
      <c r="B92" s="29" t="n">
        <v>0</v>
      </c>
      <c r="C92" s="26"/>
      <c r="D92" s="26"/>
      <c r="E92" s="26"/>
      <c r="F92" s="29" t="n">
        <v>0</v>
      </c>
      <c r="G92" s="29" t="n">
        <v>0</v>
      </c>
      <c r="H92" s="29" t="n">
        <v>0</v>
      </c>
      <c r="I92" s="29" t="n">
        <v>17000000</v>
      </c>
      <c r="J92" s="10" t="s">
        <v>483</v>
      </c>
      <c r="K92" s="14" t="s">
        <v>496</v>
      </c>
    </row>
    <row r="93" customFormat="false" ht="15" hidden="false" customHeight="false" outlineLevel="0" collapsed="false">
      <c r="A93" s="11" t="s">
        <v>502</v>
      </c>
      <c r="B93" s="29" t="n">
        <v>0</v>
      </c>
      <c r="C93" s="26"/>
      <c r="D93" s="26"/>
      <c r="E93" s="26"/>
      <c r="F93" s="29" t="n">
        <v>0</v>
      </c>
      <c r="G93" s="29" t="n">
        <v>0</v>
      </c>
      <c r="H93" s="29" t="n">
        <v>0</v>
      </c>
      <c r="I93" s="29" t="n">
        <v>17000000</v>
      </c>
      <c r="J93" s="10" t="s">
        <v>483</v>
      </c>
      <c r="K93" s="14" t="s">
        <v>496</v>
      </c>
    </row>
    <row r="94" customFormat="false" ht="15" hidden="false" customHeight="false" outlineLevel="0" collapsed="false">
      <c r="A94" s="11" t="s">
        <v>503</v>
      </c>
      <c r="B94" s="29" t="n">
        <v>0</v>
      </c>
      <c r="C94" s="26"/>
      <c r="D94" s="26"/>
      <c r="E94" s="26"/>
      <c r="F94" s="29" t="n">
        <v>0</v>
      </c>
      <c r="G94" s="29" t="n">
        <v>0</v>
      </c>
      <c r="H94" s="29" t="n">
        <v>0</v>
      </c>
      <c r="I94" s="29" t="n">
        <v>17000000</v>
      </c>
      <c r="J94" s="10" t="s">
        <v>483</v>
      </c>
      <c r="K94" s="14" t="s">
        <v>496</v>
      </c>
    </row>
    <row r="95" customFormat="false" ht="15" hidden="false" customHeight="false" outlineLevel="0" collapsed="false">
      <c r="A95" s="11" t="s">
        <v>504</v>
      </c>
      <c r="B95" s="29" t="n">
        <v>13000000</v>
      </c>
      <c r="C95" s="29" t="n">
        <v>0</v>
      </c>
      <c r="D95" s="29" t="n">
        <v>0</v>
      </c>
      <c r="E95" s="29" t="n">
        <v>0</v>
      </c>
      <c r="F95" s="26"/>
      <c r="G95" s="26"/>
      <c r="H95" s="26"/>
      <c r="I95" s="29" t="n">
        <v>8000000</v>
      </c>
      <c r="J95" s="10" t="s">
        <v>483</v>
      </c>
      <c r="K95" s="14" t="s">
        <v>505</v>
      </c>
    </row>
    <row r="96" customFormat="false" ht="15" hidden="false" customHeight="false" outlineLevel="0" collapsed="false">
      <c r="A96" s="11"/>
      <c r="B96" s="29"/>
      <c r="C96" s="29"/>
      <c r="D96" s="29"/>
      <c r="E96" s="29"/>
      <c r="F96" s="29"/>
      <c r="G96" s="29"/>
      <c r="H96" s="29"/>
      <c r="I96" s="29"/>
      <c r="J96" s="10"/>
      <c r="K96" s="11"/>
    </row>
    <row r="97" customFormat="false" ht="15" hidden="false" customHeight="false" outlineLevel="0" collapsed="false">
      <c r="A97" s="11"/>
      <c r="B97" s="29"/>
      <c r="C97" s="29"/>
      <c r="D97" s="29"/>
      <c r="E97" s="29"/>
      <c r="F97" s="29"/>
      <c r="G97" s="29"/>
      <c r="H97" s="29"/>
      <c r="I97" s="29"/>
      <c r="J97" s="10"/>
      <c r="K97" s="11"/>
    </row>
    <row r="98" customFormat="false" ht="15" hidden="false" customHeight="false" outlineLevel="0" collapsed="false">
      <c r="A98" s="11"/>
      <c r="B98" s="29"/>
      <c r="C98" s="29"/>
      <c r="D98" s="29"/>
      <c r="E98" s="29"/>
      <c r="F98" s="29"/>
      <c r="G98" s="29"/>
      <c r="H98" s="29"/>
      <c r="I98" s="29"/>
      <c r="J98" s="10"/>
      <c r="K98" s="11"/>
    </row>
    <row r="99" customFormat="false" ht="15" hidden="false" customHeight="false" outlineLevel="0" collapsed="false">
      <c r="A99" s="11"/>
      <c r="B99" s="29"/>
      <c r="C99" s="29"/>
      <c r="D99" s="29"/>
      <c r="E99" s="29"/>
      <c r="F99" s="29"/>
      <c r="G99" s="29"/>
      <c r="H99" s="29"/>
      <c r="I99" s="29"/>
      <c r="J99" s="10"/>
      <c r="K99" s="11"/>
    </row>
    <row r="100" customFormat="false" ht="15" hidden="false" customHeight="false" outlineLevel="0" collapsed="false">
      <c r="A100" s="11"/>
      <c r="B100" s="29"/>
      <c r="C100" s="29"/>
      <c r="D100" s="29"/>
      <c r="E100" s="29"/>
      <c r="F100" s="29"/>
      <c r="G100" s="29"/>
      <c r="H100" s="29"/>
      <c r="I100" s="29"/>
      <c r="J100" s="10"/>
      <c r="K100" s="11"/>
    </row>
    <row r="101" customFormat="false" ht="15" hidden="false" customHeight="false" outlineLevel="0" collapsed="false">
      <c r="A101" s="11"/>
      <c r="B101" s="29"/>
      <c r="C101" s="29"/>
      <c r="D101" s="29"/>
      <c r="E101" s="29"/>
      <c r="F101" s="29"/>
      <c r="G101" s="29"/>
      <c r="H101" s="29"/>
      <c r="I101" s="29"/>
      <c r="J101" s="10"/>
      <c r="K101" s="11"/>
    </row>
    <row r="103" customFormat="false" ht="15" hidden="false" customHeight="false" outlineLevel="0" collapsed="false">
      <c r="A103" s="15" t="s">
        <v>506</v>
      </c>
      <c r="I103" s="19" t="n">
        <f aca="false">SUMIF(J80:J101,"Planned",I80:I101)</f>
        <v>20000000</v>
      </c>
    </row>
  </sheetData>
  <conditionalFormatting sqref="B9:H9">
    <cfRule type="cellIs" priority="2" operator="lessThan" aboveAverage="0" equalAverage="0" bottom="0" percent="0" rank="0" text="" dxfId="13">
      <formula>0</formula>
    </cfRule>
  </conditionalFormatting>
  <conditionalFormatting sqref="J80:J101">
    <cfRule type="cellIs" priority="3" operator="equal" aboveAverage="0" equalAverage="0" bottom="0" percent="0" rank="0" text="" dxfId="8">
      <formula>"Done"</formula>
    </cfRule>
  </conditionalFormatting>
  <conditionalFormatting sqref="J13:J76">
    <cfRule type="cellIs" priority="4" operator="equal" aboveAverage="0" equalAverage="0" bottom="0" percent="0" rank="0" text="" dxfId="8">
      <formula>"Yes"</formula>
    </cfRule>
  </conditionalFormatting>
  <dataValidations count="2">
    <dataValidation allowBlank="true" errorStyle="stop" operator="between" showDropDown="false" showErrorMessage="false" showInputMessage="false" sqref="I13:J76" type="list">
      <formula1>"Yes,No"</formula1>
      <formula2>0</formula2>
    </dataValidation>
    <dataValidation allowBlank="true" errorStyle="stop" operator="between" showDropDown="false" showErrorMessage="false" showInputMessage="false" sqref="J80:J101" type="list">
      <formula1>"Planned,If needed,Done,Skipped"</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4" ySplit="4" topLeftCell="E5" activePane="bottomRight" state="frozen"/>
      <selection pane="topLeft" activeCell="A1" activeCellId="0" sqref="A1"/>
      <selection pane="topRight" activeCell="E1" activeCellId="0" sqref="E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44"/>
    <col collapsed="false" customWidth="true" hidden="false" outlineLevel="0" max="3" min="2" style="0" width="12"/>
    <col collapsed="false" customWidth="true" hidden="false" outlineLevel="0" max="4" min="4" style="0" width="40"/>
    <col collapsed="false" customWidth="true" hidden="false" outlineLevel="0" max="12" min="5" style="0" width="11"/>
  </cols>
  <sheetData>
    <row r="1" customFormat="false" ht="17.35" hidden="false" customHeight="false" outlineLevel="0" collapsed="false">
      <c r="A1" s="1" t="s">
        <v>507</v>
      </c>
    </row>
    <row r="2" customFormat="false" ht="15" hidden="false" customHeight="false" outlineLevel="0" collapsed="false">
      <c r="A2" s="2" t="s">
        <v>508</v>
      </c>
    </row>
    <row r="4" customFormat="false" ht="26.85" hidden="false" customHeight="false" outlineLevel="0" collapsed="false">
      <c r="A4" s="3" t="s">
        <v>308</v>
      </c>
      <c r="B4" s="3" t="s">
        <v>307</v>
      </c>
      <c r="C4" s="3" t="s">
        <v>377</v>
      </c>
      <c r="D4" s="3" t="s">
        <v>509</v>
      </c>
      <c r="E4" s="3" t="s">
        <v>510</v>
      </c>
      <c r="F4" s="3" t="s">
        <v>511</v>
      </c>
      <c r="G4" s="3" t="s">
        <v>512</v>
      </c>
      <c r="H4" s="3" t="s">
        <v>513</v>
      </c>
      <c r="I4" s="3" t="s">
        <v>514</v>
      </c>
      <c r="J4" s="3" t="s">
        <v>515</v>
      </c>
      <c r="K4" s="3" t="s">
        <v>516</v>
      </c>
      <c r="L4" s="3" t="s">
        <v>517</v>
      </c>
    </row>
    <row r="5" customFormat="false" ht="15" hidden="false" customHeight="false" outlineLevel="0" collapsed="false">
      <c r="A5" s="30" t="s">
        <v>518</v>
      </c>
    </row>
    <row r="6" customFormat="false" ht="15" hidden="false" customHeight="false" outlineLevel="0" collapsed="false">
      <c r="A6" s="12" t="s">
        <v>519</v>
      </c>
      <c r="B6" s="12" t="s">
        <v>520</v>
      </c>
      <c r="C6" s="23" t="n">
        <v>25000</v>
      </c>
      <c r="D6" s="14" t="s">
        <v>521</v>
      </c>
      <c r="E6" s="31" t="s">
        <v>476</v>
      </c>
      <c r="F6" s="31" t="s">
        <v>476</v>
      </c>
      <c r="G6" s="31"/>
      <c r="H6" s="31"/>
      <c r="I6" s="31"/>
      <c r="J6" s="31"/>
      <c r="K6" s="31"/>
      <c r="L6" s="31"/>
    </row>
    <row r="7" customFormat="false" ht="15" hidden="false" customHeight="false" outlineLevel="0" collapsed="false">
      <c r="A7" s="12" t="s">
        <v>522</v>
      </c>
      <c r="B7" s="12" t="s">
        <v>520</v>
      </c>
      <c r="C7" s="23" t="n">
        <v>25000</v>
      </c>
      <c r="D7" s="14" t="s">
        <v>523</v>
      </c>
      <c r="E7" s="31" t="s">
        <v>476</v>
      </c>
      <c r="F7" s="31" t="s">
        <v>476</v>
      </c>
      <c r="G7" s="31"/>
      <c r="H7" s="31"/>
      <c r="I7" s="31"/>
      <c r="J7" s="31"/>
      <c r="K7" s="31"/>
      <c r="L7" s="31"/>
    </row>
    <row r="8" customFormat="false" ht="15" hidden="false" customHeight="false" outlineLevel="0" collapsed="false">
      <c r="A8" s="12" t="s">
        <v>524</v>
      </c>
      <c r="B8" s="12" t="s">
        <v>520</v>
      </c>
      <c r="C8" s="23" t="n">
        <v>50000</v>
      </c>
      <c r="D8" s="14" t="s">
        <v>525</v>
      </c>
      <c r="E8" s="31" t="s">
        <v>476</v>
      </c>
      <c r="F8" s="31" t="s">
        <v>476</v>
      </c>
      <c r="G8" s="31"/>
      <c r="H8" s="31"/>
      <c r="I8" s="31"/>
      <c r="J8" s="31"/>
      <c r="K8" s="31"/>
      <c r="L8" s="31"/>
    </row>
    <row r="9" customFormat="false" ht="15" hidden="false" customHeight="false" outlineLevel="0" collapsed="false">
      <c r="A9" s="12" t="s">
        <v>526</v>
      </c>
      <c r="B9" s="12" t="s">
        <v>520</v>
      </c>
      <c r="C9" s="23" t="n">
        <v>50000</v>
      </c>
      <c r="D9" s="14" t="s">
        <v>527</v>
      </c>
      <c r="E9" s="31" t="s">
        <v>476</v>
      </c>
      <c r="F9" s="31" t="s">
        <v>476</v>
      </c>
      <c r="G9" s="31"/>
      <c r="H9" s="31"/>
      <c r="I9" s="31"/>
      <c r="J9" s="31"/>
      <c r="K9" s="31"/>
      <c r="L9" s="31"/>
    </row>
    <row r="10" customFormat="false" ht="15" hidden="false" customHeight="false" outlineLevel="0" collapsed="false">
      <c r="A10" s="12" t="s">
        <v>528</v>
      </c>
      <c r="B10" s="12" t="s">
        <v>520</v>
      </c>
      <c r="C10" s="23" t="n">
        <v>50000</v>
      </c>
      <c r="D10" s="14" t="s">
        <v>525</v>
      </c>
      <c r="E10" s="31" t="s">
        <v>476</v>
      </c>
      <c r="F10" s="31" t="s">
        <v>476</v>
      </c>
      <c r="G10" s="31"/>
      <c r="H10" s="31"/>
      <c r="I10" s="31"/>
      <c r="J10" s="31"/>
      <c r="K10" s="31"/>
      <c r="L10" s="31"/>
    </row>
    <row r="11" customFormat="false" ht="15" hidden="false" customHeight="false" outlineLevel="0" collapsed="false">
      <c r="A11" s="12" t="s">
        <v>529</v>
      </c>
      <c r="B11" s="12" t="s">
        <v>520</v>
      </c>
      <c r="C11" s="23" t="n">
        <v>25000</v>
      </c>
      <c r="D11" s="14" t="s">
        <v>525</v>
      </c>
      <c r="E11" s="31" t="s">
        <v>476</v>
      </c>
      <c r="F11" s="31" t="s">
        <v>476</v>
      </c>
      <c r="G11" s="31"/>
      <c r="H11" s="31"/>
      <c r="I11" s="31"/>
      <c r="J11" s="31"/>
      <c r="K11" s="31"/>
      <c r="L11" s="31"/>
    </row>
    <row r="12" customFormat="false" ht="15" hidden="false" customHeight="false" outlineLevel="0" collapsed="false">
      <c r="A12" s="12" t="s">
        <v>530</v>
      </c>
      <c r="B12" s="12" t="s">
        <v>520</v>
      </c>
      <c r="C12" s="23" t="n">
        <v>25000</v>
      </c>
      <c r="D12" s="14" t="s">
        <v>531</v>
      </c>
      <c r="E12" s="31" t="s">
        <v>476</v>
      </c>
      <c r="F12" s="31" t="s">
        <v>476</v>
      </c>
      <c r="G12" s="31"/>
      <c r="H12" s="31"/>
      <c r="I12" s="31"/>
      <c r="J12" s="31"/>
      <c r="K12" s="31"/>
      <c r="L12" s="31"/>
    </row>
    <row r="13" customFormat="false" ht="15" hidden="false" customHeight="false" outlineLevel="0" collapsed="false">
      <c r="A13" s="12" t="s">
        <v>532</v>
      </c>
      <c r="B13" s="12" t="s">
        <v>520</v>
      </c>
      <c r="C13" s="23" t="n">
        <v>25000</v>
      </c>
      <c r="D13" s="14" t="s">
        <v>525</v>
      </c>
      <c r="E13" s="31" t="s">
        <v>476</v>
      </c>
      <c r="F13" s="31" t="s">
        <v>476</v>
      </c>
      <c r="G13" s="31"/>
      <c r="H13" s="31"/>
      <c r="I13" s="31"/>
      <c r="J13" s="31"/>
      <c r="K13" s="31"/>
      <c r="L13" s="31"/>
    </row>
    <row r="14" customFormat="false" ht="15" hidden="false" customHeight="false" outlineLevel="0" collapsed="false">
      <c r="A14" s="12" t="s">
        <v>533</v>
      </c>
      <c r="B14" s="12" t="s">
        <v>520</v>
      </c>
      <c r="C14" s="23" t="n">
        <v>50000</v>
      </c>
      <c r="D14" s="14" t="s">
        <v>534</v>
      </c>
      <c r="E14" s="31" t="s">
        <v>476</v>
      </c>
      <c r="F14" s="31" t="s">
        <v>476</v>
      </c>
      <c r="G14" s="31"/>
      <c r="H14" s="31"/>
      <c r="I14" s="31"/>
      <c r="J14" s="31"/>
      <c r="K14" s="31"/>
      <c r="L14" s="31"/>
    </row>
    <row r="15" customFormat="false" ht="15" hidden="false" customHeight="false" outlineLevel="0" collapsed="false">
      <c r="A15" s="12" t="s">
        <v>535</v>
      </c>
      <c r="B15" s="12" t="s">
        <v>520</v>
      </c>
      <c r="C15" s="23" t="n">
        <v>50000</v>
      </c>
      <c r="D15" s="14" t="s">
        <v>525</v>
      </c>
      <c r="E15" s="31" t="s">
        <v>476</v>
      </c>
      <c r="F15" s="31" t="s">
        <v>476</v>
      </c>
      <c r="G15" s="31"/>
      <c r="H15" s="31"/>
      <c r="I15" s="31"/>
      <c r="J15" s="31"/>
      <c r="K15" s="31"/>
      <c r="L15" s="31"/>
    </row>
    <row r="16" customFormat="false" ht="15" hidden="false" customHeight="false" outlineLevel="0" collapsed="false">
      <c r="A16" s="12" t="s">
        <v>536</v>
      </c>
      <c r="B16" s="12" t="s">
        <v>520</v>
      </c>
      <c r="C16" s="23" t="n">
        <v>1000000</v>
      </c>
      <c r="D16" s="14" t="s">
        <v>537</v>
      </c>
      <c r="E16" s="31" t="s">
        <v>476</v>
      </c>
      <c r="F16" s="31" t="s">
        <v>476</v>
      </c>
      <c r="G16" s="31"/>
      <c r="H16" s="31"/>
      <c r="I16" s="31"/>
      <c r="J16" s="31"/>
      <c r="K16" s="31"/>
      <c r="L16" s="31"/>
    </row>
    <row r="17" customFormat="false" ht="15" hidden="false" customHeight="false" outlineLevel="0" collapsed="false">
      <c r="A17" s="12" t="s">
        <v>538</v>
      </c>
      <c r="B17" s="12" t="s">
        <v>539</v>
      </c>
      <c r="C17" s="23" t="n">
        <v>100000</v>
      </c>
      <c r="D17" s="14" t="s">
        <v>540</v>
      </c>
      <c r="E17" s="31"/>
      <c r="F17" s="31" t="s">
        <v>476</v>
      </c>
      <c r="G17" s="31"/>
      <c r="H17" s="31"/>
      <c r="I17" s="31"/>
      <c r="J17" s="31"/>
      <c r="K17" s="31"/>
      <c r="L17" s="31"/>
    </row>
    <row r="18" customFormat="false" ht="15" hidden="false" customHeight="false" outlineLevel="0" collapsed="false">
      <c r="A18" s="12" t="s">
        <v>541</v>
      </c>
      <c r="B18" s="12" t="s">
        <v>539</v>
      </c>
      <c r="C18" s="23" t="n">
        <v>25000</v>
      </c>
      <c r="D18" s="14" t="s">
        <v>542</v>
      </c>
      <c r="E18" s="31" t="s">
        <v>476</v>
      </c>
      <c r="F18" s="31" t="s">
        <v>476</v>
      </c>
      <c r="G18" s="31"/>
      <c r="H18" s="31"/>
      <c r="I18" s="31"/>
      <c r="J18" s="31"/>
      <c r="K18" s="31"/>
      <c r="L18" s="31"/>
    </row>
    <row r="19" customFormat="false" ht="15" hidden="false" customHeight="false" outlineLevel="0" collapsed="false">
      <c r="A19" s="12" t="s">
        <v>543</v>
      </c>
      <c r="B19" s="12" t="s">
        <v>539</v>
      </c>
      <c r="C19" s="23" t="n">
        <v>25000</v>
      </c>
      <c r="D19" s="14" t="s">
        <v>544</v>
      </c>
      <c r="E19" s="31" t="s">
        <v>476</v>
      </c>
      <c r="F19" s="31" t="s">
        <v>476</v>
      </c>
      <c r="G19" s="31"/>
      <c r="H19" s="31"/>
      <c r="I19" s="31"/>
      <c r="J19" s="31"/>
      <c r="K19" s="31"/>
      <c r="L19" s="31"/>
    </row>
    <row r="20" customFormat="false" ht="15" hidden="false" customHeight="false" outlineLevel="0" collapsed="false">
      <c r="A20" s="12" t="s">
        <v>545</v>
      </c>
      <c r="B20" s="12" t="s">
        <v>539</v>
      </c>
      <c r="C20" s="23" t="n">
        <v>75000</v>
      </c>
      <c r="D20" s="14" t="s">
        <v>546</v>
      </c>
      <c r="E20" s="31" t="s">
        <v>476</v>
      </c>
      <c r="F20" s="31" t="s">
        <v>476</v>
      </c>
      <c r="G20" s="31"/>
      <c r="H20" s="31"/>
      <c r="I20" s="31"/>
      <c r="J20" s="31"/>
      <c r="K20" s="31"/>
      <c r="L20" s="31"/>
    </row>
    <row r="21" customFormat="false" ht="15" hidden="false" customHeight="false" outlineLevel="0" collapsed="false">
      <c r="A21" s="30" t="s">
        <v>547</v>
      </c>
    </row>
    <row r="22" customFormat="false" ht="15" hidden="false" customHeight="false" outlineLevel="0" collapsed="false">
      <c r="A22" s="12" t="s">
        <v>548</v>
      </c>
      <c r="B22" s="12" t="s">
        <v>549</v>
      </c>
      <c r="C22" s="23" t="n">
        <v>0</v>
      </c>
      <c r="D22" s="14" t="s">
        <v>550</v>
      </c>
      <c r="E22" s="31" t="s">
        <v>476</v>
      </c>
      <c r="F22" s="31"/>
      <c r="G22" s="31"/>
      <c r="H22" s="31"/>
      <c r="I22" s="31"/>
      <c r="J22" s="31"/>
      <c r="K22" s="31"/>
      <c r="L22" s="31"/>
    </row>
    <row r="23" customFormat="false" ht="15" hidden="false" customHeight="false" outlineLevel="0" collapsed="false">
      <c r="A23" s="12" t="s">
        <v>551</v>
      </c>
      <c r="B23" s="12" t="s">
        <v>549</v>
      </c>
      <c r="C23" s="23" t="n">
        <v>0</v>
      </c>
      <c r="D23" s="14" t="s">
        <v>550</v>
      </c>
      <c r="E23" s="31"/>
      <c r="F23" s="31"/>
      <c r="G23" s="31"/>
      <c r="H23" s="31"/>
      <c r="I23" s="31"/>
      <c r="J23" s="31"/>
      <c r="K23" s="31"/>
      <c r="L23" s="31"/>
    </row>
    <row r="24" customFormat="false" ht="15" hidden="false" customHeight="false" outlineLevel="0" collapsed="false">
      <c r="A24" s="12" t="s">
        <v>552</v>
      </c>
      <c r="B24" s="12" t="s">
        <v>549</v>
      </c>
      <c r="C24" s="23" t="n">
        <v>0</v>
      </c>
      <c r="D24" s="14" t="s">
        <v>550</v>
      </c>
      <c r="E24" s="31"/>
      <c r="F24" s="31"/>
      <c r="G24" s="31"/>
      <c r="H24" s="31"/>
      <c r="I24" s="31"/>
      <c r="J24" s="31"/>
      <c r="K24" s="31"/>
      <c r="L24" s="31"/>
    </row>
    <row r="25" customFormat="false" ht="15" hidden="false" customHeight="false" outlineLevel="0" collapsed="false">
      <c r="A25" s="12" t="s">
        <v>553</v>
      </c>
      <c r="B25" s="12" t="s">
        <v>554</v>
      </c>
      <c r="C25" s="23" t="n">
        <v>900000</v>
      </c>
      <c r="D25" s="14" t="s">
        <v>555</v>
      </c>
      <c r="E25" s="31" t="s">
        <v>476</v>
      </c>
      <c r="F25" s="31" t="s">
        <v>476</v>
      </c>
      <c r="G25" s="31"/>
      <c r="H25" s="31"/>
      <c r="I25" s="31"/>
      <c r="J25" s="31"/>
      <c r="K25" s="31"/>
      <c r="L25" s="31"/>
    </row>
    <row r="26" customFormat="false" ht="15" hidden="false" customHeight="false" outlineLevel="0" collapsed="false">
      <c r="A26" s="12" t="s">
        <v>556</v>
      </c>
      <c r="B26" s="12" t="s">
        <v>554</v>
      </c>
      <c r="C26" s="23" t="n">
        <v>0</v>
      </c>
      <c r="D26" s="14" t="s">
        <v>557</v>
      </c>
      <c r="E26" s="31" t="s">
        <v>476</v>
      </c>
      <c r="F26" s="31"/>
      <c r="G26" s="31"/>
      <c r="H26" s="31"/>
      <c r="I26" s="31"/>
      <c r="J26" s="31"/>
      <c r="K26" s="31"/>
      <c r="L26" s="31"/>
    </row>
    <row r="27" customFormat="false" ht="15" hidden="false" customHeight="false" outlineLevel="0" collapsed="false">
      <c r="A27" s="12" t="s">
        <v>558</v>
      </c>
      <c r="B27" s="12" t="s">
        <v>559</v>
      </c>
      <c r="C27" s="23" t="n">
        <v>0</v>
      </c>
      <c r="D27" s="14" t="s">
        <v>560</v>
      </c>
      <c r="E27" s="31"/>
      <c r="F27" s="31"/>
      <c r="G27" s="31"/>
      <c r="H27" s="31"/>
      <c r="I27" s="31"/>
      <c r="J27" s="31"/>
      <c r="K27" s="31"/>
      <c r="L27" s="31"/>
    </row>
    <row r="28" customFormat="false" ht="15" hidden="false" customHeight="false" outlineLevel="0" collapsed="false">
      <c r="A28" s="12" t="s">
        <v>561</v>
      </c>
      <c r="B28" s="12" t="s">
        <v>562</v>
      </c>
      <c r="C28" s="23" t="n">
        <v>0</v>
      </c>
      <c r="D28" s="14" t="s">
        <v>563</v>
      </c>
      <c r="E28" s="31"/>
      <c r="F28" s="31"/>
      <c r="G28" s="31"/>
      <c r="H28" s="31"/>
      <c r="I28" s="31"/>
      <c r="J28" s="31"/>
      <c r="K28" s="31"/>
      <c r="L28" s="31"/>
    </row>
    <row r="29" customFormat="false" ht="15" hidden="false" customHeight="false" outlineLevel="0" collapsed="false">
      <c r="A29" s="30" t="s">
        <v>564</v>
      </c>
    </row>
    <row r="30" customFormat="false" ht="15" hidden="false" customHeight="false" outlineLevel="0" collapsed="false">
      <c r="A30" s="12" t="s">
        <v>565</v>
      </c>
      <c r="B30" s="12" t="s">
        <v>566</v>
      </c>
      <c r="C30" s="23" t="n">
        <v>0</v>
      </c>
      <c r="D30" s="14" t="s">
        <v>567</v>
      </c>
      <c r="E30" s="31"/>
      <c r="F30" s="31"/>
      <c r="G30" s="31"/>
      <c r="H30" s="31"/>
      <c r="I30" s="31"/>
      <c r="J30" s="31"/>
      <c r="K30" s="31"/>
      <c r="L30" s="31"/>
    </row>
    <row r="31" customFormat="false" ht="15" hidden="false" customHeight="false" outlineLevel="0" collapsed="false">
      <c r="A31" s="12" t="s">
        <v>568</v>
      </c>
      <c r="B31" s="12" t="s">
        <v>566</v>
      </c>
      <c r="C31" s="23" t="n">
        <v>0</v>
      </c>
      <c r="D31" s="14" t="s">
        <v>569</v>
      </c>
      <c r="E31" s="31"/>
      <c r="F31" s="31"/>
      <c r="G31" s="31"/>
      <c r="H31" s="31"/>
      <c r="I31" s="31"/>
      <c r="J31" s="31"/>
      <c r="K31" s="31"/>
      <c r="L31" s="31"/>
    </row>
    <row r="32" customFormat="false" ht="15" hidden="false" customHeight="false" outlineLevel="0" collapsed="false">
      <c r="A32" s="12" t="s">
        <v>570</v>
      </c>
      <c r="B32" s="12" t="s">
        <v>566</v>
      </c>
      <c r="C32" s="23" t="n">
        <v>0</v>
      </c>
      <c r="D32" s="14" t="s">
        <v>571</v>
      </c>
      <c r="E32" s="31"/>
      <c r="F32" s="31"/>
      <c r="G32" s="31"/>
      <c r="H32" s="31"/>
      <c r="I32" s="31"/>
      <c r="J32" s="31"/>
      <c r="K32" s="31"/>
      <c r="L32" s="31"/>
    </row>
    <row r="33" customFormat="false" ht="15" hidden="false" customHeight="false" outlineLevel="0" collapsed="false">
      <c r="A33" s="12" t="s">
        <v>572</v>
      </c>
      <c r="B33" s="12" t="s">
        <v>573</v>
      </c>
      <c r="C33" s="23" t="n">
        <v>0</v>
      </c>
      <c r="D33" s="14" t="s">
        <v>574</v>
      </c>
      <c r="E33" s="31" t="s">
        <v>476</v>
      </c>
      <c r="F33" s="31"/>
      <c r="G33" s="31"/>
      <c r="H33" s="31"/>
      <c r="I33" s="31"/>
      <c r="J33" s="31"/>
      <c r="K33" s="31"/>
      <c r="L33" s="31"/>
    </row>
    <row r="34" customFormat="false" ht="15" hidden="false" customHeight="false" outlineLevel="0" collapsed="false">
      <c r="A34" s="12" t="s">
        <v>575</v>
      </c>
      <c r="B34" s="12" t="s">
        <v>566</v>
      </c>
      <c r="C34" s="23" t="n">
        <v>0</v>
      </c>
      <c r="D34" s="14" t="s">
        <v>576</v>
      </c>
      <c r="E34" s="31"/>
      <c r="F34" s="31"/>
      <c r="G34" s="31"/>
      <c r="H34" s="31"/>
      <c r="I34" s="31"/>
      <c r="J34" s="31"/>
      <c r="K34" s="31"/>
      <c r="L34" s="31"/>
    </row>
    <row r="35" customFormat="false" ht="15" hidden="false" customHeight="false" outlineLevel="0" collapsed="false">
      <c r="A35" s="12" t="s">
        <v>577</v>
      </c>
      <c r="B35" s="12" t="s">
        <v>573</v>
      </c>
      <c r="C35" s="23" t="n">
        <v>0</v>
      </c>
      <c r="D35" s="14" t="s">
        <v>578</v>
      </c>
      <c r="E35" s="31"/>
      <c r="F35" s="31"/>
      <c r="G35" s="31"/>
      <c r="H35" s="31"/>
      <c r="I35" s="31"/>
      <c r="J35" s="31"/>
      <c r="K35" s="31"/>
      <c r="L35" s="31"/>
    </row>
    <row r="36" customFormat="false" ht="15" hidden="false" customHeight="false" outlineLevel="0" collapsed="false">
      <c r="A36" s="12" t="s">
        <v>579</v>
      </c>
      <c r="B36" s="12" t="s">
        <v>573</v>
      </c>
      <c r="C36" s="23" t="n">
        <v>0</v>
      </c>
      <c r="D36" s="14" t="s">
        <v>578</v>
      </c>
      <c r="E36" s="31"/>
      <c r="F36" s="31"/>
      <c r="G36" s="31"/>
      <c r="H36" s="31"/>
      <c r="I36" s="31"/>
      <c r="J36" s="31"/>
      <c r="K36" s="31"/>
      <c r="L36" s="31"/>
    </row>
    <row r="37" customFormat="false" ht="15" hidden="false" customHeight="false" outlineLevel="0" collapsed="false">
      <c r="A37" s="12" t="s">
        <v>580</v>
      </c>
      <c r="B37" s="12" t="s">
        <v>566</v>
      </c>
      <c r="C37" s="23" t="n">
        <v>0</v>
      </c>
      <c r="D37" s="14" t="s">
        <v>581</v>
      </c>
      <c r="E37" s="31"/>
      <c r="F37" s="31"/>
      <c r="G37" s="31"/>
      <c r="H37" s="31"/>
      <c r="I37" s="31"/>
      <c r="J37" s="31"/>
      <c r="K37" s="31"/>
      <c r="L37" s="31"/>
    </row>
    <row r="38" customFormat="false" ht="15" hidden="false" customHeight="false" outlineLevel="0" collapsed="false">
      <c r="A38" s="12" t="s">
        <v>582</v>
      </c>
      <c r="B38" s="12" t="s">
        <v>566</v>
      </c>
      <c r="C38" s="23" t="n">
        <v>0</v>
      </c>
      <c r="D38" s="14" t="s">
        <v>583</v>
      </c>
      <c r="E38" s="31"/>
      <c r="F38" s="31"/>
      <c r="G38" s="31"/>
      <c r="H38" s="31"/>
      <c r="I38" s="31"/>
      <c r="J38" s="31"/>
      <c r="K38" s="31"/>
      <c r="L38" s="31"/>
    </row>
    <row r="40" customFormat="false" ht="15" hidden="false" customHeight="false" outlineLevel="0" collapsed="false">
      <c r="A40" s="15" t="s">
        <v>584</v>
      </c>
      <c r="E40" s="19" t="n">
        <f aca="false">SUMPRODUCT(($C$5:$C$38)*(E5:E38="Done"))</f>
        <v>2400000</v>
      </c>
      <c r="F40" s="19" t="n">
        <f aca="false">SUMPRODUCT(($C$5:$C$38)*(F5:F38="Done"))</f>
        <v>2500000</v>
      </c>
      <c r="G40" s="19" t="n">
        <f aca="false">SUMPRODUCT(($C$5:$C$38)*(G5:G38="Done"))</f>
        <v>0</v>
      </c>
      <c r="H40" s="19" t="n">
        <f aca="false">SUMPRODUCT(($C$5:$C$38)*(H5:H38="Done"))</f>
        <v>0</v>
      </c>
      <c r="I40" s="19" t="n">
        <f aca="false">SUMPRODUCT(($C$5:$C$38)*(I5:I38="Done"))</f>
        <v>0</v>
      </c>
      <c r="J40" s="19" t="n">
        <f aca="false">SUMPRODUCT(($C$5:$C$38)*(J5:J38="Done"))</f>
        <v>0</v>
      </c>
      <c r="K40" s="19" t="n">
        <f aca="false">SUMPRODUCT(($C$5:$C$38)*(K5:K38="Done"))</f>
        <v>0</v>
      </c>
      <c r="L40" s="19" t="n">
        <f aca="false">SUMPRODUCT(($C$5:$C$38)*(L5:L38="Done"))</f>
        <v>0</v>
      </c>
    </row>
    <row r="41" customFormat="false" ht="15" hidden="false" customHeight="false" outlineLevel="0" collapsed="false">
      <c r="A41" s="15" t="s">
        <v>585</v>
      </c>
      <c r="E41" s="32" t="str">
        <f aca="false">COUNTIFS($B$5:$B$38,"Required",E5:E38,"Done")&amp;" of 11"</f>
        <v>11 of 11</v>
      </c>
      <c r="F41" s="32" t="str">
        <f aca="false">COUNTIFS($B$5:$B$38,"Required",F5:F38,"Done")&amp;" of 11"</f>
        <v>11 of 11</v>
      </c>
      <c r="G41" s="32" t="str">
        <f aca="false">COUNTIFS($B$5:$B$38,"Required",G5:G38,"Done")&amp;" of 11"</f>
        <v>0 of 11</v>
      </c>
      <c r="H41" s="32" t="str">
        <f aca="false">COUNTIFS($B$5:$B$38,"Required",H5:H38,"Done")&amp;" of 11"</f>
        <v>0 of 11</v>
      </c>
      <c r="I41" s="32" t="str">
        <f aca="false">COUNTIFS($B$5:$B$38,"Required",I5:I38,"Done")&amp;" of 11"</f>
        <v>0 of 11</v>
      </c>
      <c r="J41" s="32" t="str">
        <f aca="false">COUNTIFS($B$5:$B$38,"Required",J5:J38,"Done")&amp;" of 11"</f>
        <v>0 of 11</v>
      </c>
      <c r="K41" s="32" t="str">
        <f aca="false">COUNTIFS($B$5:$B$38,"Required",K5:K38,"Done")&amp;" of 11"</f>
        <v>0 of 11</v>
      </c>
      <c r="L41" s="32" t="str">
        <f aca="false">COUNTIFS($B$5:$B$38,"Required",L5:L38,"Done")&amp;" of 11"</f>
        <v>0 of 11</v>
      </c>
    </row>
    <row r="43" customFormat="false" ht="15" hidden="false" customHeight="false" outlineLevel="0" collapsed="false">
      <c r="A43" s="2" t="s">
        <v>586</v>
      </c>
    </row>
  </sheetData>
  <conditionalFormatting sqref="E5:L38">
    <cfRule type="cellIs" priority="2" operator="equal" aboveAverage="0" equalAverage="0" bottom="0" percent="0" rank="0" text="" dxfId="8">
      <formula>"Done"</formula>
    </cfRule>
  </conditionalFormatting>
  <dataValidations count="1">
    <dataValidation allowBlank="true" errorStyle="stop" operator="between" showDropDown="false" showErrorMessage="false" showInputMessage="false" sqref="E5:L38" type="list">
      <formula1>"Done"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5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2" topLeftCell="A13"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4"/>
    <col collapsed="false" customWidth="true" hidden="false" outlineLevel="0" max="2" min="2" style="0" width="16"/>
    <col collapsed="false" customWidth="true" hidden="false" outlineLevel="0" max="3" min="3" style="0" width="32"/>
    <col collapsed="false" customWidth="true" hidden="false" outlineLevel="0" max="4" min="4" style="0" width="40"/>
    <col collapsed="false" customWidth="true" hidden="false" outlineLevel="0" max="7" min="5" style="0" width="12"/>
    <col collapsed="false" customWidth="true" hidden="false" outlineLevel="0" max="8" min="8" style="0" width="13"/>
    <col collapsed="false" customWidth="true" hidden="false" outlineLevel="0" max="9" min="9" style="0" width="16"/>
  </cols>
  <sheetData>
    <row r="1" customFormat="false" ht="17.35" hidden="false" customHeight="false" outlineLevel="0" collapsed="false">
      <c r="A1" s="1" t="s">
        <v>587</v>
      </c>
    </row>
    <row r="2" customFormat="false" ht="15" hidden="false" customHeight="false" outlineLevel="0" collapsed="false">
      <c r="A2" s="2" t="s">
        <v>588</v>
      </c>
    </row>
    <row r="4" customFormat="false" ht="15" hidden="false" customHeight="false" outlineLevel="0" collapsed="false">
      <c r="A4" s="15" t="s">
        <v>232</v>
      </c>
      <c r="B4" s="16" t="s">
        <v>589</v>
      </c>
      <c r="D4" s="15" t="s">
        <v>590</v>
      </c>
    </row>
    <row r="5" customFormat="false" ht="15" hidden="false" customHeight="false" outlineLevel="0" collapsed="false">
      <c r="A5" s="15" t="s">
        <v>163</v>
      </c>
      <c r="B5" s="17" t="n">
        <v>46313.7083333333</v>
      </c>
      <c r="E5" s="15" t="s">
        <v>591</v>
      </c>
      <c r="F5" s="15" t="s">
        <v>592</v>
      </c>
      <c r="G5" s="15" t="s">
        <v>593</v>
      </c>
    </row>
    <row r="6" customFormat="false" ht="15" hidden="false" customHeight="false" outlineLevel="0" collapsed="false">
      <c r="A6" s="15" t="s">
        <v>234</v>
      </c>
      <c r="B6" s="18" t="n">
        <v>330153995</v>
      </c>
      <c r="D6" s="16" t="s">
        <v>594</v>
      </c>
      <c r="E6" s="19" t="n">
        <f aca="false">SUMPRODUCT((A13:A54&lt;=$B$9)*(H13:H54&lt;&gt;"Claimed")*E13:E54)</f>
        <v>1300000</v>
      </c>
      <c r="F6" s="19" t="n">
        <f aca="false">SUMPRODUCT((A13:A54&lt;=$B$9)*(H13:H54&lt;&gt;"Claimed")*F13:F54)</f>
        <v>4200000</v>
      </c>
      <c r="G6" s="19" t="n">
        <f aca="false">SUMPRODUCT((A13:A54&lt;=$B$9)*(H13:H54&lt;&gt;"Claimed")*G13:G54)</f>
        <v>5700000</v>
      </c>
    </row>
    <row r="7" customFormat="false" ht="15" hidden="false" customHeight="false" outlineLevel="0" collapsed="false">
      <c r="A7" s="15" t="s">
        <v>165</v>
      </c>
      <c r="B7" s="15" t="n">
        <f aca="false">IFERROR(INDEX(A13:A54,MATCH(TRUE(),INDEX(B13:B54&gt;B6,0),0)),"All done")</f>
        <v>17</v>
      </c>
      <c r="D7" s="16" t="s">
        <v>238</v>
      </c>
      <c r="E7" s="19" t="n">
        <f aca="false">SUMPRODUCT((B13:B54&lt;&gt;"")*(B13:B54&lt;=$B$6)*(H13:H54&lt;&gt;"Claimed")*E13:E54)</f>
        <v>0</v>
      </c>
      <c r="F7" s="19" t="n">
        <f aca="false">SUMPRODUCT((B13:B54&lt;&gt;"")*(B13:B54&lt;=$B$6)*(H13:H54&lt;&gt;"Claimed")*F13:F54)</f>
        <v>0</v>
      </c>
      <c r="G7" s="19" t="n">
        <f aca="false">SUMPRODUCT((B13:B54&lt;&gt;"")*(B13:B54&lt;=$B$6)*(H13:H54&lt;&gt;"Claimed")*G13:G54)</f>
        <v>0</v>
      </c>
    </row>
    <row r="8" customFormat="false" ht="15" hidden="false" customHeight="false" outlineLevel="0" collapsed="false">
      <c r="A8" s="15" t="s">
        <v>166</v>
      </c>
      <c r="B8" s="19" t="n">
        <f aca="false">IFERROR(INDEX(I13:I54,MATCH(TRUE(),INDEX(B13:B54&gt;B6,0),0)),0)</f>
        <v>19846005</v>
      </c>
    </row>
    <row r="9" customFormat="false" ht="15" hidden="false" customHeight="false" outlineLevel="0" collapsed="false">
      <c r="A9" s="15" t="s">
        <v>595</v>
      </c>
      <c r="B9" s="33" t="n">
        <v>20</v>
      </c>
    </row>
    <row r="10" customFormat="false" ht="15" hidden="false" customHeight="false" outlineLevel="0" collapsed="false">
      <c r="A10" s="15" t="s">
        <v>596</v>
      </c>
      <c r="B10" s="19" t="n">
        <f aca="false">MAX(0,INDEX(B13:B54,B9)-B6)</f>
        <v>94846005</v>
      </c>
    </row>
    <row r="11" customFormat="false" ht="15" hidden="false" customHeight="false" outlineLevel="0" collapsed="false">
      <c r="A11" s="15" t="s">
        <v>597</v>
      </c>
      <c r="B11" s="19" t="n">
        <f aca="true">IFERROR(B10/MAX(B5-NOW(),0.01),0)</f>
        <v>15089160.2513664</v>
      </c>
    </row>
    <row r="12" customFormat="false" ht="15" hidden="false" customHeight="false" outlineLevel="0" collapsed="false">
      <c r="A12" s="3" t="s">
        <v>167</v>
      </c>
      <c r="B12" s="3" t="s">
        <v>241</v>
      </c>
      <c r="C12" s="3" t="s">
        <v>598</v>
      </c>
      <c r="D12" s="3" t="s">
        <v>509</v>
      </c>
      <c r="E12" s="3" t="s">
        <v>591</v>
      </c>
      <c r="F12" s="3" t="s">
        <v>592</v>
      </c>
      <c r="G12" s="3" t="s">
        <v>593</v>
      </c>
      <c r="H12" s="3" t="s">
        <v>12</v>
      </c>
      <c r="I12" s="3" t="s">
        <v>242</v>
      </c>
    </row>
    <row r="13" customFormat="false" ht="15" hidden="false" customHeight="false" outlineLevel="0" collapsed="false">
      <c r="A13" s="25" t="n">
        <v>1</v>
      </c>
      <c r="B13" s="26"/>
      <c r="C13" s="11"/>
      <c r="D13" s="11" t="s">
        <v>599</v>
      </c>
      <c r="E13" s="29" t="n">
        <v>0</v>
      </c>
      <c r="F13" s="29" t="n">
        <v>0</v>
      </c>
      <c r="G13" s="29" t="n">
        <v>0</v>
      </c>
      <c r="H13" s="10" t="s">
        <v>174</v>
      </c>
      <c r="I13" s="23" t="str">
        <f aca="false">IF(B13="","",MAX(0,B13-$B$6))</f>
        <v/>
      </c>
    </row>
    <row r="14" customFormat="false" ht="15" hidden="false" customHeight="false" outlineLevel="0" collapsed="false">
      <c r="A14" s="25" t="n">
        <v>2</v>
      </c>
      <c r="B14" s="26"/>
      <c r="C14" s="11"/>
      <c r="D14" s="11" t="s">
        <v>600</v>
      </c>
      <c r="E14" s="29" t="n">
        <v>0</v>
      </c>
      <c r="F14" s="29" t="n">
        <v>0</v>
      </c>
      <c r="G14" s="29" t="n">
        <v>0</v>
      </c>
      <c r="H14" s="10" t="s">
        <v>174</v>
      </c>
      <c r="I14" s="23" t="str">
        <f aca="false">IF(B14="","",MAX(0,B14-$B$6))</f>
        <v/>
      </c>
    </row>
    <row r="15" customFormat="false" ht="15" hidden="false" customHeight="false" outlineLevel="0" collapsed="false">
      <c r="A15" s="25" t="n">
        <v>3</v>
      </c>
      <c r="B15" s="26"/>
      <c r="C15" s="11"/>
      <c r="D15" s="11" t="s">
        <v>601</v>
      </c>
      <c r="E15" s="29" t="n">
        <v>0</v>
      </c>
      <c r="F15" s="29" t="n">
        <v>0</v>
      </c>
      <c r="G15" s="29" t="n">
        <v>0</v>
      </c>
      <c r="H15" s="10" t="s">
        <v>174</v>
      </c>
      <c r="I15" s="23" t="str">
        <f aca="false">IF(B15="","",MAX(0,B15-$B$6))</f>
        <v/>
      </c>
    </row>
    <row r="16" customFormat="false" ht="15" hidden="false" customHeight="false" outlineLevel="0" collapsed="false">
      <c r="A16" s="25" t="n">
        <v>4</v>
      </c>
      <c r="B16" s="26"/>
      <c r="C16" s="11"/>
      <c r="D16" s="11" t="s">
        <v>601</v>
      </c>
      <c r="E16" s="29" t="n">
        <v>0</v>
      </c>
      <c r="F16" s="29" t="n">
        <v>0</v>
      </c>
      <c r="G16" s="29" t="n">
        <v>0</v>
      </c>
      <c r="H16" s="10" t="s">
        <v>174</v>
      </c>
      <c r="I16" s="23" t="str">
        <f aca="false">IF(B16="","",MAX(0,B16-$B$6))</f>
        <v/>
      </c>
    </row>
    <row r="17" customFormat="false" ht="15" hidden="false" customHeight="false" outlineLevel="0" collapsed="false">
      <c r="A17" s="25" t="n">
        <v>5</v>
      </c>
      <c r="B17" s="26"/>
      <c r="C17" s="11" t="s">
        <v>602</v>
      </c>
      <c r="D17" s="11" t="s">
        <v>603</v>
      </c>
      <c r="E17" s="29" t="n">
        <v>0</v>
      </c>
      <c r="F17" s="29" t="n">
        <v>0</v>
      </c>
      <c r="G17" s="29" t="n">
        <v>0</v>
      </c>
      <c r="H17" s="10" t="s">
        <v>174</v>
      </c>
      <c r="I17" s="23" t="str">
        <f aca="false">IF(B17="","",MAX(0,B17-$B$6))</f>
        <v/>
      </c>
    </row>
    <row r="18" customFormat="false" ht="15" hidden="false" customHeight="false" outlineLevel="0" collapsed="false">
      <c r="A18" s="25" t="n">
        <v>6</v>
      </c>
      <c r="B18" s="26"/>
      <c r="C18" s="11" t="s">
        <v>604</v>
      </c>
      <c r="D18" s="11" t="s">
        <v>605</v>
      </c>
      <c r="E18" s="29" t="n">
        <v>0</v>
      </c>
      <c r="F18" s="29" t="n">
        <v>0</v>
      </c>
      <c r="G18" s="29" t="n">
        <v>0</v>
      </c>
      <c r="H18" s="10" t="s">
        <v>174</v>
      </c>
      <c r="I18" s="23" t="str">
        <f aca="false">IF(B18="","",MAX(0,B18-$B$6))</f>
        <v/>
      </c>
    </row>
    <row r="19" customFormat="false" ht="15" hidden="false" customHeight="false" outlineLevel="0" collapsed="false">
      <c r="A19" s="25" t="n">
        <v>7</v>
      </c>
      <c r="B19" s="26"/>
      <c r="C19" s="11" t="s">
        <v>606</v>
      </c>
      <c r="D19" s="11" t="s">
        <v>607</v>
      </c>
      <c r="E19" s="29" t="n">
        <v>0</v>
      </c>
      <c r="F19" s="29" t="n">
        <v>0</v>
      </c>
      <c r="G19" s="29" t="n">
        <v>0</v>
      </c>
      <c r="H19" s="10" t="s">
        <v>174</v>
      </c>
      <c r="I19" s="23" t="str">
        <f aca="false">IF(B19="","",MAX(0,B19-$B$6))</f>
        <v/>
      </c>
    </row>
    <row r="20" customFormat="false" ht="15" hidden="false" customHeight="false" outlineLevel="0" collapsed="false">
      <c r="A20" s="25" t="n">
        <v>8</v>
      </c>
      <c r="B20" s="26"/>
      <c r="C20" s="11" t="s">
        <v>608</v>
      </c>
      <c r="D20" s="11" t="s">
        <v>609</v>
      </c>
      <c r="E20" s="29" t="n">
        <v>0</v>
      </c>
      <c r="F20" s="29" t="n">
        <v>0</v>
      </c>
      <c r="G20" s="29" t="n">
        <v>0</v>
      </c>
      <c r="H20" s="10" t="s">
        <v>174</v>
      </c>
      <c r="I20" s="23" t="str">
        <f aca="false">IF(B20="","",MAX(0,B20-$B$6))</f>
        <v/>
      </c>
    </row>
    <row r="21" customFormat="false" ht="15" hidden="false" customHeight="false" outlineLevel="0" collapsed="false">
      <c r="A21" s="25" t="n">
        <v>9</v>
      </c>
      <c r="B21" s="26"/>
      <c r="C21" s="11" t="s">
        <v>610</v>
      </c>
      <c r="D21" s="11" t="s">
        <v>611</v>
      </c>
      <c r="E21" s="29" t="n">
        <v>0</v>
      </c>
      <c r="F21" s="29" t="n">
        <v>0</v>
      </c>
      <c r="G21" s="29" t="n">
        <v>0</v>
      </c>
      <c r="H21" s="10" t="s">
        <v>174</v>
      </c>
      <c r="I21" s="23" t="str">
        <f aca="false">IF(B21="","",MAX(0,B21-$B$6))</f>
        <v/>
      </c>
    </row>
    <row r="22" customFormat="false" ht="15" hidden="false" customHeight="false" outlineLevel="0" collapsed="false">
      <c r="A22" s="25" t="n">
        <v>10</v>
      </c>
      <c r="B22" s="26"/>
      <c r="C22" s="11" t="s">
        <v>612</v>
      </c>
      <c r="D22" s="11" t="s">
        <v>613</v>
      </c>
      <c r="E22" s="29" t="n">
        <v>0</v>
      </c>
      <c r="F22" s="29" t="n">
        <v>0</v>
      </c>
      <c r="G22" s="29" t="n">
        <v>0</v>
      </c>
      <c r="H22" s="10" t="s">
        <v>174</v>
      </c>
      <c r="I22" s="23" t="str">
        <f aca="false">IF(B22="","",MAX(0,B22-$B$6))</f>
        <v/>
      </c>
    </row>
    <row r="23" customFormat="false" ht="15" hidden="false" customHeight="false" outlineLevel="0" collapsed="false">
      <c r="A23" s="25" t="n">
        <v>11</v>
      </c>
      <c r="B23" s="26"/>
      <c r="C23" s="11"/>
      <c r="D23" s="11" t="s">
        <v>614</v>
      </c>
      <c r="E23" s="29" t="n">
        <v>900000</v>
      </c>
      <c r="F23" s="29" t="n">
        <v>1300000</v>
      </c>
      <c r="G23" s="29" t="n">
        <v>1900000</v>
      </c>
      <c r="H23" s="10" t="s">
        <v>174</v>
      </c>
      <c r="I23" s="23" t="str">
        <f aca="false">IF(B23="","",MAX(0,B23-$B$6))</f>
        <v/>
      </c>
    </row>
    <row r="24" customFormat="false" ht="15" hidden="false" customHeight="false" outlineLevel="0" collapsed="false">
      <c r="A24" s="25" t="n">
        <v>12</v>
      </c>
      <c r="B24" s="26"/>
      <c r="C24" s="11" t="s">
        <v>615</v>
      </c>
      <c r="D24" s="11" t="s">
        <v>616</v>
      </c>
      <c r="E24" s="29" t="n">
        <v>900000</v>
      </c>
      <c r="F24" s="29" t="n">
        <v>0</v>
      </c>
      <c r="G24" s="29" t="n">
        <v>1900000</v>
      </c>
      <c r="H24" s="10" t="s">
        <v>174</v>
      </c>
      <c r="I24" s="23" t="str">
        <f aca="false">IF(B24="","",MAX(0,B24-$B$6))</f>
        <v/>
      </c>
    </row>
    <row r="25" customFormat="false" ht="15" hidden="false" customHeight="false" outlineLevel="0" collapsed="false">
      <c r="A25" s="25" t="n">
        <v>13</v>
      </c>
      <c r="B25" s="26"/>
      <c r="C25" s="11" t="s">
        <v>617</v>
      </c>
      <c r="D25" s="11" t="s">
        <v>616</v>
      </c>
      <c r="E25" s="29" t="n">
        <v>0</v>
      </c>
      <c r="F25" s="29" t="n">
        <v>1300000</v>
      </c>
      <c r="G25" s="29" t="n">
        <v>1900000</v>
      </c>
      <c r="H25" s="10" t="s">
        <v>174</v>
      </c>
      <c r="I25" s="23" t="str">
        <f aca="false">IF(B25="","",MAX(0,B25-$B$6))</f>
        <v/>
      </c>
    </row>
    <row r="26" customFormat="false" ht="15" hidden="false" customHeight="false" outlineLevel="0" collapsed="false">
      <c r="A26" s="25" t="n">
        <v>14</v>
      </c>
      <c r="B26" s="26"/>
      <c r="C26" s="11" t="s">
        <v>618</v>
      </c>
      <c r="D26" s="11" t="s">
        <v>616</v>
      </c>
      <c r="E26" s="29" t="n">
        <v>900000</v>
      </c>
      <c r="F26" s="29" t="n">
        <v>1300000</v>
      </c>
      <c r="G26" s="29" t="n">
        <v>0</v>
      </c>
      <c r="H26" s="10" t="s">
        <v>174</v>
      </c>
      <c r="I26" s="23" t="str">
        <f aca="false">IF(B26="","",MAX(0,B26-$B$6))</f>
        <v/>
      </c>
    </row>
    <row r="27" customFormat="false" ht="15" hidden="false" customHeight="false" outlineLevel="0" collapsed="false">
      <c r="A27" s="25" t="n">
        <v>15</v>
      </c>
      <c r="B27" s="29" t="n">
        <v>300000000</v>
      </c>
      <c r="C27" s="11"/>
      <c r="D27" s="11" t="s">
        <v>616</v>
      </c>
      <c r="E27" s="29" t="n">
        <v>900000</v>
      </c>
      <c r="F27" s="29" t="n">
        <v>1300000</v>
      </c>
      <c r="G27" s="29" t="n">
        <v>1900000</v>
      </c>
      <c r="H27" s="10" t="s">
        <v>174</v>
      </c>
      <c r="I27" s="23" t="n">
        <f aca="false">IF(B27="","",MAX(0,B27-$B$6))</f>
        <v>0</v>
      </c>
    </row>
    <row r="28" customFormat="false" ht="15" hidden="false" customHeight="false" outlineLevel="0" collapsed="false">
      <c r="A28" s="25" t="n">
        <v>16</v>
      </c>
      <c r="B28" s="29" t="n">
        <v>325000000</v>
      </c>
      <c r="C28" s="11" t="s">
        <v>619</v>
      </c>
      <c r="D28" s="11" t="s">
        <v>616</v>
      </c>
      <c r="E28" s="29" t="n">
        <v>950000</v>
      </c>
      <c r="F28" s="29" t="n">
        <v>0</v>
      </c>
      <c r="G28" s="29" t="n">
        <v>1900000</v>
      </c>
      <c r="H28" s="10" t="s">
        <v>174</v>
      </c>
      <c r="I28" s="23" t="n">
        <f aca="false">IF(B28="","",MAX(0,B28-$B$6))</f>
        <v>0</v>
      </c>
    </row>
    <row r="29" customFormat="false" ht="15" hidden="false" customHeight="false" outlineLevel="0" collapsed="false">
      <c r="A29" s="25" t="n">
        <v>17</v>
      </c>
      <c r="B29" s="29" t="n">
        <v>350000000</v>
      </c>
      <c r="C29" s="11" t="s">
        <v>620</v>
      </c>
      <c r="D29" s="11" t="s">
        <v>616</v>
      </c>
      <c r="E29" s="29" t="n">
        <v>0</v>
      </c>
      <c r="F29" s="29" t="n">
        <v>1400000</v>
      </c>
      <c r="G29" s="29" t="n">
        <v>1900000</v>
      </c>
      <c r="H29" s="10" t="s">
        <v>177</v>
      </c>
      <c r="I29" s="23" t="n">
        <f aca="false">IF(B29="","",MAX(0,B29-$B$6))</f>
        <v>19846005</v>
      </c>
    </row>
    <row r="30" customFormat="false" ht="15" hidden="false" customHeight="false" outlineLevel="0" collapsed="false">
      <c r="A30" s="25" t="n">
        <v>18</v>
      </c>
      <c r="B30" s="29" t="n">
        <v>375000000</v>
      </c>
      <c r="C30" s="11" t="s">
        <v>621</v>
      </c>
      <c r="D30" s="11" t="s">
        <v>622</v>
      </c>
      <c r="E30" s="26"/>
      <c r="F30" s="26"/>
      <c r="G30" s="26"/>
      <c r="H30" s="10" t="s">
        <v>177</v>
      </c>
      <c r="I30" s="23" t="n">
        <f aca="false">IF(B30="","",MAX(0,B30-$B$6))</f>
        <v>44846005</v>
      </c>
    </row>
    <row r="31" customFormat="false" ht="15" hidden="false" customHeight="false" outlineLevel="0" collapsed="false">
      <c r="A31" s="25" t="n">
        <v>19</v>
      </c>
      <c r="B31" s="29" t="n">
        <v>400000000</v>
      </c>
      <c r="C31" s="11" t="s">
        <v>623</v>
      </c>
      <c r="D31" s="11" t="s">
        <v>616</v>
      </c>
      <c r="E31" s="29" t="n">
        <v>0</v>
      </c>
      <c r="F31" s="29" t="n">
        <v>1400000</v>
      </c>
      <c r="G31" s="29" t="n">
        <v>1900000</v>
      </c>
      <c r="H31" s="10" t="s">
        <v>177</v>
      </c>
      <c r="I31" s="23" t="n">
        <f aca="false">IF(B31="","",MAX(0,B31-$B$6))</f>
        <v>69846005</v>
      </c>
    </row>
    <row r="32" customFormat="false" ht="15" hidden="false" customHeight="false" outlineLevel="0" collapsed="false">
      <c r="A32" s="25" t="n">
        <v>20</v>
      </c>
      <c r="B32" s="29" t="n">
        <v>425000000</v>
      </c>
      <c r="C32" s="11" t="s">
        <v>624</v>
      </c>
      <c r="D32" s="11"/>
      <c r="E32" s="29" t="n">
        <v>1300000</v>
      </c>
      <c r="F32" s="29" t="n">
        <v>1400000</v>
      </c>
      <c r="G32" s="29" t="n">
        <v>1900000</v>
      </c>
      <c r="H32" s="10" t="s">
        <v>177</v>
      </c>
      <c r="I32" s="23" t="n">
        <f aca="false">IF(B32="","",MAX(0,B32-$B$6))</f>
        <v>94846005</v>
      </c>
    </row>
    <row r="33" customFormat="false" ht="15" hidden="false" customHeight="false" outlineLevel="0" collapsed="false">
      <c r="A33" s="25" t="n">
        <v>21</v>
      </c>
      <c r="B33" s="29" t="n">
        <v>450000000</v>
      </c>
      <c r="C33" s="11" t="s">
        <v>625</v>
      </c>
      <c r="D33" s="11" t="s">
        <v>616</v>
      </c>
      <c r="E33" s="29" t="n">
        <v>0</v>
      </c>
      <c r="F33" s="29" t="n">
        <v>1400000</v>
      </c>
      <c r="G33" s="29" t="n">
        <v>1900000</v>
      </c>
      <c r="H33" s="10" t="s">
        <v>177</v>
      </c>
      <c r="I33" s="23" t="n">
        <f aca="false">IF(B33="","",MAX(0,B33-$B$6))</f>
        <v>119846005</v>
      </c>
    </row>
    <row r="34" customFormat="false" ht="15" hidden="false" customHeight="false" outlineLevel="0" collapsed="false">
      <c r="A34" s="25" t="n">
        <v>22</v>
      </c>
      <c r="B34" s="29" t="n">
        <v>475000000</v>
      </c>
      <c r="C34" s="11" t="s">
        <v>626</v>
      </c>
      <c r="D34" s="11"/>
      <c r="E34" s="29" t="n">
        <v>1300000</v>
      </c>
      <c r="F34" s="29" t="n">
        <v>1400000</v>
      </c>
      <c r="G34" s="29" t="n">
        <v>1900000</v>
      </c>
      <c r="H34" s="10" t="s">
        <v>177</v>
      </c>
      <c r="I34" s="23" t="n">
        <f aca="false">IF(B34="","",MAX(0,B34-$B$6))</f>
        <v>144846005</v>
      </c>
    </row>
    <row r="35" customFormat="false" ht="15" hidden="false" customHeight="false" outlineLevel="0" collapsed="false">
      <c r="A35" s="25" t="n">
        <v>23</v>
      </c>
      <c r="B35" s="29" t="n">
        <v>500000000</v>
      </c>
      <c r="C35" s="11" t="s">
        <v>627</v>
      </c>
      <c r="D35" s="11" t="s">
        <v>616</v>
      </c>
      <c r="E35" s="29" t="n">
        <v>0</v>
      </c>
      <c r="F35" s="29" t="n">
        <v>1400000</v>
      </c>
      <c r="G35" s="29" t="n">
        <v>1900000</v>
      </c>
      <c r="H35" s="10" t="s">
        <v>177</v>
      </c>
      <c r="I35" s="23" t="n">
        <f aca="false">IF(B35="","",MAX(0,B35-$B$6))</f>
        <v>169846005</v>
      </c>
    </row>
    <row r="36" customFormat="false" ht="15" hidden="false" customHeight="false" outlineLevel="0" collapsed="false">
      <c r="A36" s="25" t="n">
        <v>24</v>
      </c>
      <c r="B36" s="29" t="n">
        <v>525000000</v>
      </c>
      <c r="C36" s="11" t="s">
        <v>628</v>
      </c>
      <c r="D36" s="11"/>
      <c r="E36" s="29" t="n">
        <v>1300000</v>
      </c>
      <c r="F36" s="29" t="n">
        <v>1400000</v>
      </c>
      <c r="G36" s="29" t="n">
        <v>1900000</v>
      </c>
      <c r="H36" s="10" t="s">
        <v>177</v>
      </c>
      <c r="I36" s="23" t="n">
        <f aca="false">IF(B36="","",MAX(0,B36-$B$6))</f>
        <v>194846005</v>
      </c>
    </row>
    <row r="37" customFormat="false" ht="15" hidden="false" customHeight="false" outlineLevel="0" collapsed="false">
      <c r="A37" s="25" t="n">
        <v>25</v>
      </c>
      <c r="B37" s="29" t="n">
        <v>550000000</v>
      </c>
      <c r="C37" s="11" t="s">
        <v>629</v>
      </c>
      <c r="D37" s="11" t="s">
        <v>616</v>
      </c>
      <c r="E37" s="29" t="n">
        <v>0</v>
      </c>
      <c r="F37" s="29" t="n">
        <v>1400000</v>
      </c>
      <c r="G37" s="29" t="n">
        <v>1900000</v>
      </c>
      <c r="H37" s="10" t="s">
        <v>177</v>
      </c>
      <c r="I37" s="23" t="n">
        <f aca="false">IF(B37="","",MAX(0,B37-$B$6))</f>
        <v>219846005</v>
      </c>
    </row>
    <row r="38" customFormat="false" ht="15" hidden="false" customHeight="false" outlineLevel="0" collapsed="false">
      <c r="A38" s="25" t="n">
        <v>26</v>
      </c>
      <c r="B38" s="29" t="n">
        <v>600000000</v>
      </c>
      <c r="C38" s="11" t="s">
        <v>630</v>
      </c>
      <c r="D38" s="11"/>
      <c r="E38" s="29" t="n">
        <v>1300000</v>
      </c>
      <c r="F38" s="29" t="n">
        <v>1400000</v>
      </c>
      <c r="G38" s="29" t="n">
        <v>2000000</v>
      </c>
      <c r="H38" s="10" t="s">
        <v>177</v>
      </c>
      <c r="I38" s="23" t="n">
        <f aca="false">IF(B38="","",MAX(0,B38-$B$6))</f>
        <v>269846005</v>
      </c>
    </row>
    <row r="39" customFormat="false" ht="15" hidden="false" customHeight="false" outlineLevel="0" collapsed="false">
      <c r="A39" s="25" t="n">
        <v>27</v>
      </c>
      <c r="B39" s="29" t="n">
        <v>650000000</v>
      </c>
      <c r="C39" s="11" t="s">
        <v>631</v>
      </c>
      <c r="D39" s="11" t="s">
        <v>616</v>
      </c>
      <c r="E39" s="29" t="n">
        <v>0</v>
      </c>
      <c r="F39" s="29" t="n">
        <v>1400000</v>
      </c>
      <c r="G39" s="29" t="n">
        <v>2000000</v>
      </c>
      <c r="H39" s="10" t="s">
        <v>177</v>
      </c>
      <c r="I39" s="23" t="n">
        <f aca="false">IF(B39="","",MAX(0,B39-$B$6))</f>
        <v>319846005</v>
      </c>
    </row>
    <row r="40" customFormat="false" ht="15" hidden="false" customHeight="false" outlineLevel="0" collapsed="false">
      <c r="A40" s="25" t="n">
        <v>28</v>
      </c>
      <c r="B40" s="29" t="n">
        <v>750000000</v>
      </c>
      <c r="C40" s="11" t="s">
        <v>632</v>
      </c>
      <c r="D40" s="11"/>
      <c r="E40" s="29" t="n">
        <v>1300000</v>
      </c>
      <c r="F40" s="29" t="n">
        <v>1400000</v>
      </c>
      <c r="G40" s="29" t="n">
        <v>2000000</v>
      </c>
      <c r="H40" s="10" t="s">
        <v>177</v>
      </c>
      <c r="I40" s="23" t="n">
        <f aca="false">IF(B40="","",MAX(0,B40-$B$6))</f>
        <v>419846005</v>
      </c>
    </row>
    <row r="41" customFormat="false" ht="15" hidden="false" customHeight="false" outlineLevel="0" collapsed="false">
      <c r="A41" s="25" t="n">
        <v>29</v>
      </c>
      <c r="B41" s="29" t="n">
        <v>900000000</v>
      </c>
      <c r="C41" s="11" t="s">
        <v>633</v>
      </c>
      <c r="D41" s="11" t="s">
        <v>616</v>
      </c>
      <c r="E41" s="29" t="n">
        <v>0</v>
      </c>
      <c r="F41" s="29" t="n">
        <v>1400000</v>
      </c>
      <c r="G41" s="29" t="n">
        <v>2000000</v>
      </c>
      <c r="H41" s="10" t="s">
        <v>177</v>
      </c>
      <c r="I41" s="23" t="n">
        <f aca="false">IF(B41="","",MAX(0,B41-$B$6))</f>
        <v>569846005</v>
      </c>
    </row>
    <row r="42" customFormat="false" ht="15" hidden="false" customHeight="false" outlineLevel="0" collapsed="false">
      <c r="A42" s="25" t="n">
        <v>30</v>
      </c>
      <c r="B42" s="29" t="n">
        <v>1100000000</v>
      </c>
      <c r="C42" s="11" t="s">
        <v>634</v>
      </c>
      <c r="D42" s="11"/>
      <c r="E42" s="29" t="n">
        <v>1400000</v>
      </c>
      <c r="F42" s="29" t="n">
        <v>1400000</v>
      </c>
      <c r="G42" s="29" t="n">
        <v>2000000</v>
      </c>
      <c r="H42" s="10" t="s">
        <v>177</v>
      </c>
      <c r="I42" s="23" t="n">
        <f aca="false">IF(B42="","",MAX(0,B42-$B$6))</f>
        <v>769846005</v>
      </c>
    </row>
    <row r="43" customFormat="false" ht="15" hidden="false" customHeight="false" outlineLevel="0" collapsed="false">
      <c r="A43" s="25" t="n">
        <v>31</v>
      </c>
      <c r="B43" s="29" t="n">
        <v>1300000000</v>
      </c>
      <c r="C43" s="11" t="s">
        <v>635</v>
      </c>
      <c r="D43" s="11" t="s">
        <v>616</v>
      </c>
      <c r="E43" s="29" t="n">
        <v>0</v>
      </c>
      <c r="F43" s="29" t="n">
        <v>1400000</v>
      </c>
      <c r="G43" s="29" t="n">
        <v>2000000</v>
      </c>
      <c r="H43" s="10" t="s">
        <v>177</v>
      </c>
      <c r="I43" s="23" t="n">
        <f aca="false">IF(B43="","",MAX(0,B43-$B$6))</f>
        <v>969846005</v>
      </c>
    </row>
    <row r="44" customFormat="false" ht="15" hidden="false" customHeight="false" outlineLevel="0" collapsed="false">
      <c r="A44" s="25" t="n">
        <v>32</v>
      </c>
      <c r="B44" s="29" t="n">
        <v>1500000000</v>
      </c>
      <c r="C44" s="11" t="s">
        <v>636</v>
      </c>
      <c r="D44" s="11"/>
      <c r="E44" s="29" t="n">
        <v>1400000</v>
      </c>
      <c r="F44" s="29" t="n">
        <v>1400000</v>
      </c>
      <c r="G44" s="29" t="n">
        <v>2700000</v>
      </c>
      <c r="H44" s="10" t="s">
        <v>177</v>
      </c>
      <c r="I44" s="23" t="n">
        <f aca="false">IF(B44="","",MAX(0,B44-$B$6))</f>
        <v>1169846005</v>
      </c>
    </row>
    <row r="45" customFormat="false" ht="15" hidden="false" customHeight="false" outlineLevel="0" collapsed="false">
      <c r="A45" s="25" t="n">
        <v>33</v>
      </c>
      <c r="B45" s="29" t="n">
        <v>1700000000</v>
      </c>
      <c r="C45" s="11" t="s">
        <v>637</v>
      </c>
      <c r="D45" s="11"/>
      <c r="E45" s="29" t="n">
        <v>1400000</v>
      </c>
      <c r="F45" s="29" t="n">
        <v>1400000</v>
      </c>
      <c r="G45" s="29" t="n">
        <v>2700000</v>
      </c>
      <c r="H45" s="10" t="s">
        <v>177</v>
      </c>
      <c r="I45" s="23" t="n">
        <f aca="false">IF(B45="","",MAX(0,B45-$B$6))</f>
        <v>1369846005</v>
      </c>
    </row>
    <row r="46" customFormat="false" ht="15" hidden="false" customHeight="false" outlineLevel="0" collapsed="false">
      <c r="A46" s="25" t="n">
        <v>34</v>
      </c>
      <c r="B46" s="29" t="n">
        <v>1900000000</v>
      </c>
      <c r="C46" s="11" t="s">
        <v>635</v>
      </c>
      <c r="D46" s="11"/>
      <c r="E46" s="29" t="n">
        <v>1400000</v>
      </c>
      <c r="F46" s="29" t="n">
        <v>1400000</v>
      </c>
      <c r="G46" s="29" t="n">
        <v>2700000</v>
      </c>
      <c r="H46" s="10" t="s">
        <v>177</v>
      </c>
      <c r="I46" s="23" t="n">
        <f aca="false">IF(B46="","",MAX(0,B46-$B$6))</f>
        <v>1569846005</v>
      </c>
    </row>
    <row r="47" customFormat="false" ht="15" hidden="false" customHeight="false" outlineLevel="0" collapsed="false">
      <c r="A47" s="25" t="n">
        <v>35</v>
      </c>
      <c r="B47" s="29" t="n">
        <v>2100000000</v>
      </c>
      <c r="C47" s="11" t="s">
        <v>638</v>
      </c>
      <c r="D47" s="11"/>
      <c r="E47" s="29" t="n">
        <v>1400000</v>
      </c>
      <c r="F47" s="29" t="n">
        <v>1400000</v>
      </c>
      <c r="G47" s="29" t="n">
        <v>2700000</v>
      </c>
      <c r="H47" s="10" t="s">
        <v>177</v>
      </c>
      <c r="I47" s="23" t="n">
        <f aca="false">IF(B47="","",MAX(0,B47-$B$6))</f>
        <v>1769846005</v>
      </c>
    </row>
    <row r="48" customFormat="false" ht="15" hidden="false" customHeight="false" outlineLevel="0" collapsed="false">
      <c r="A48" s="25" t="n">
        <v>36</v>
      </c>
      <c r="B48" s="29" t="n">
        <v>2300000000</v>
      </c>
      <c r="C48" s="11" t="s">
        <v>639</v>
      </c>
      <c r="D48" s="11"/>
      <c r="E48" s="29" t="n">
        <v>1400000</v>
      </c>
      <c r="F48" s="29" t="n">
        <v>1400000</v>
      </c>
      <c r="G48" s="29" t="n">
        <v>2700000</v>
      </c>
      <c r="H48" s="10" t="s">
        <v>177</v>
      </c>
      <c r="I48" s="23" t="n">
        <f aca="false">IF(B48="","",MAX(0,B48-$B$6))</f>
        <v>1969846005</v>
      </c>
    </row>
    <row r="49" customFormat="false" ht="15" hidden="false" customHeight="false" outlineLevel="0" collapsed="false">
      <c r="A49" s="25" t="n">
        <v>37</v>
      </c>
      <c r="B49" s="29" t="n">
        <v>2500000000</v>
      </c>
      <c r="C49" s="11" t="s">
        <v>640</v>
      </c>
      <c r="D49" s="11"/>
      <c r="E49" s="29" t="n">
        <v>1400000</v>
      </c>
      <c r="F49" s="29" t="n">
        <v>1400000</v>
      </c>
      <c r="G49" s="29" t="n">
        <v>2700000</v>
      </c>
      <c r="H49" s="10" t="s">
        <v>177</v>
      </c>
      <c r="I49" s="23" t="n">
        <f aca="false">IF(B49="","",MAX(0,B49-$B$6))</f>
        <v>2169846005</v>
      </c>
    </row>
    <row r="50" customFormat="false" ht="15" hidden="false" customHeight="false" outlineLevel="0" collapsed="false">
      <c r="A50" s="25" t="n">
        <v>38</v>
      </c>
      <c r="B50" s="29" t="n">
        <v>2700000000</v>
      </c>
      <c r="C50" s="11" t="s">
        <v>641</v>
      </c>
      <c r="D50" s="11"/>
      <c r="E50" s="29" t="n">
        <v>1400000</v>
      </c>
      <c r="F50" s="29" t="n">
        <v>1400000</v>
      </c>
      <c r="G50" s="29" t="n">
        <v>2700000</v>
      </c>
      <c r="H50" s="10" t="s">
        <v>177</v>
      </c>
      <c r="I50" s="23" t="n">
        <f aca="false">IF(B50="","",MAX(0,B50-$B$6))</f>
        <v>2369846005</v>
      </c>
    </row>
    <row r="51" customFormat="false" ht="15" hidden="false" customHeight="false" outlineLevel="0" collapsed="false">
      <c r="A51" s="25" t="n">
        <v>39</v>
      </c>
      <c r="B51" s="29" t="n">
        <v>2900000000</v>
      </c>
      <c r="C51" s="11" t="s">
        <v>642</v>
      </c>
      <c r="D51" s="11"/>
      <c r="E51" s="29" t="n">
        <v>1400000</v>
      </c>
      <c r="F51" s="29" t="n">
        <v>1400000</v>
      </c>
      <c r="G51" s="29" t="n">
        <v>2700000</v>
      </c>
      <c r="H51" s="10" t="s">
        <v>177</v>
      </c>
      <c r="I51" s="23" t="n">
        <f aca="false">IF(B51="","",MAX(0,B51-$B$6))</f>
        <v>2569846005</v>
      </c>
    </row>
    <row r="52" customFormat="false" ht="15" hidden="false" customHeight="false" outlineLevel="0" collapsed="false">
      <c r="A52" s="25" t="n">
        <v>40</v>
      </c>
      <c r="B52" s="29" t="n">
        <v>3100000000</v>
      </c>
      <c r="C52" s="11" t="s">
        <v>643</v>
      </c>
      <c r="D52" s="11"/>
      <c r="E52" s="29" t="n">
        <v>1400000</v>
      </c>
      <c r="F52" s="29" t="n">
        <v>1400000</v>
      </c>
      <c r="G52" s="29" t="n">
        <v>2700000</v>
      </c>
      <c r="H52" s="10" t="s">
        <v>177</v>
      </c>
      <c r="I52" s="23" t="n">
        <f aca="false">IF(B52="","",MAX(0,B52-$B$6))</f>
        <v>2769846005</v>
      </c>
    </row>
    <row r="53" customFormat="false" ht="15" hidden="false" customHeight="false" outlineLevel="0" collapsed="false">
      <c r="A53" s="25" t="n">
        <v>41</v>
      </c>
      <c r="B53" s="29" t="n">
        <v>3300000000</v>
      </c>
      <c r="C53" s="11" t="s">
        <v>644</v>
      </c>
      <c r="D53" s="11"/>
      <c r="E53" s="29" t="n">
        <v>1400000</v>
      </c>
      <c r="F53" s="29" t="n">
        <v>1400000</v>
      </c>
      <c r="G53" s="29" t="n">
        <v>2700000</v>
      </c>
      <c r="H53" s="10" t="s">
        <v>177</v>
      </c>
      <c r="I53" s="23" t="n">
        <f aca="false">IF(B53="","",MAX(0,B53-$B$6))</f>
        <v>2969846005</v>
      </c>
    </row>
    <row r="54" customFormat="false" ht="15" hidden="false" customHeight="false" outlineLevel="0" collapsed="false">
      <c r="A54" s="25" t="n">
        <v>42</v>
      </c>
      <c r="B54" s="29" t="n">
        <v>3500000000</v>
      </c>
      <c r="C54" s="11" t="s">
        <v>645</v>
      </c>
      <c r="D54" s="11"/>
      <c r="E54" s="29" t="n">
        <v>1400000</v>
      </c>
      <c r="F54" s="29" t="n">
        <v>1400000</v>
      </c>
      <c r="G54" s="29" t="n">
        <v>2700000</v>
      </c>
      <c r="H54" s="10" t="s">
        <v>177</v>
      </c>
      <c r="I54" s="23" t="n">
        <f aca="false">IF(B54="","",MAX(0,B54-$B$6))</f>
        <v>3169846005</v>
      </c>
    </row>
    <row r="56" customFormat="false" ht="15" hidden="false" customHeight="false" outlineLevel="0" collapsed="false">
      <c r="A56" s="2" t="s">
        <v>646</v>
      </c>
    </row>
  </sheetData>
  <conditionalFormatting sqref="H13:H54">
    <cfRule type="cellIs" priority="2" operator="equal" aboveAverage="0" equalAverage="0" bottom="0" percent="0" rank="0" text="" dxfId="8">
      <formula>"Claimed"</formula>
    </cfRule>
    <cfRule type="expression" priority="3" aboveAverage="0" equalAverage="0" bottom="0" percent="0" rank="0" text="" dxfId="9">
      <formula>AND($B13&lt;&gt;"",$B13&lt;=$B$6,$H13&lt;&gt;"Claimed")</formula>
    </cfRule>
  </conditionalFormatting>
  <dataValidations count="1">
    <dataValidation allowBlank="false" errorStyle="stop" operator="between" showDropDown="false" showErrorMessage="false" showInputMessage="false" sqref="H13:H54" type="list">
      <formula1>"Claimed,Not claimed"</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2026-10-12T14:08:33Z</dcterms:created>
  <dc:creator>openpyxl</dc:creator>
  <dc:description/>
  <dc:language>en-US</dc:language>
  <cp:lastModifiedBy/>
  <dcterms:modified xsi:type="dcterms:W3CDTF">2026-10-12T14:08:33Z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